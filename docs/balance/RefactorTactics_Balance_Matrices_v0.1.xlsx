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Indice" sheetId="1" state="visible" r:id="rId1"/>
    <sheet xmlns:r="http://schemas.openxmlformats.org/officeDocument/2006/relationships" name="02_Roster" sheetId="2" state="visible" r:id="rId2"/>
    <sheet xmlns:r="http://schemas.openxmlformats.org/officeDocument/2006/relationships" name="03_Stats_Base" sheetId="3" state="visible" r:id="rId3"/>
    <sheet xmlns:r="http://schemas.openxmlformats.org/officeDocument/2006/relationships" name="04_Visione_Stealth" sheetId="4" state="visible" r:id="rId4"/>
    <sheet xmlns:r="http://schemas.openxmlformats.org/officeDocument/2006/relationships" name="04b_Visione_Parametri" sheetId="5" state="visible" r:id="rId5"/>
    <sheet xmlns:r="http://schemas.openxmlformats.org/officeDocument/2006/relationships" name="05_Mobilita" sheetId="6" state="visible" r:id="rId6"/>
    <sheet xmlns:r="http://schemas.openxmlformats.org/officeDocument/2006/relationships" name="06_Abilita_VS" sheetId="7" state="visible" r:id="rId7"/>
    <sheet xmlns:r="http://schemas.openxmlformats.org/officeDocument/2006/relationships" name="07_Fast_Reactions" sheetId="8" state="visible" r:id="rId8"/>
    <sheet xmlns:r="http://schemas.openxmlformats.org/officeDocument/2006/relationships" name="08_Terreni" sheetId="9" state="visible" r:id="rId9"/>
    <sheet xmlns:r="http://schemas.openxmlformats.org/officeDocument/2006/relationships" name="09_Hazard_Effetti" sheetId="10" state="visible" r:id="rId10"/>
    <sheet xmlns:r="http://schemas.openxmlformats.org/officeDocument/2006/relationships" name="10_Interazioni" sheetId="11" state="visible" r:id="rId11"/>
    <sheet xmlns:r="http://schemas.openxmlformats.org/officeDocument/2006/relationships" name="11_Cover_LOS" sheetId="12" state="visible" r:id="rId12"/>
    <sheet xmlns:r="http://schemas.openxmlformats.org/officeDocument/2006/relationships" name="12_Equipaggiamento" sheetId="13" state="visible" r:id="rId13"/>
    <sheet xmlns:r="http://schemas.openxmlformats.org/officeDocument/2006/relationships" name="13_Talenti_Varianti" sheetId="14" state="visible" r:id="rId14"/>
    <sheet xmlns:r="http://schemas.openxmlformats.org/officeDocument/2006/relationships" name="14_Status_Effects" sheetId="15" state="visible" r:id="rId15"/>
    <sheet xmlns:r="http://schemas.openxmlformats.org/officeDocument/2006/relationships" name="15_Azioni_Turni" sheetId="16" state="visible" r:id="rId16"/>
    <sheet xmlns:r="http://schemas.openxmlformats.org/officeDocument/2006/relationships" name="16_Obiettivi" sheetId="17" state="visible" r:id="rId17"/>
    <sheet xmlns:r="http://schemas.openxmlformats.org/officeDocument/2006/relationships" name="17_Transizioni_Map" sheetId="18" state="visible" r:id="rId18"/>
    <sheet xmlns:r="http://schemas.openxmlformats.org/officeDocument/2006/relationships" name="18_Risorse" sheetId="19" state="visible" r:id="rId19"/>
    <sheet xmlns:r="http://schemas.openxmlformats.org/officeDocument/2006/relationships" name="19_AI_Scoring" sheetId="20" state="visible" r:id="rId20"/>
    <sheet xmlns:r="http://schemas.openxmlformats.org/officeDocument/2006/relationships" name="20_Network_Privacy" sheetId="21" state="visible" r:id="rId21"/>
    <sheet xmlns:r="http://schemas.openxmlformats.org/officeDocument/2006/relationships" name="21_KPI_Tecnici" sheetId="22" state="visible" r:id="rId22"/>
    <sheet xmlns:r="http://schemas.openxmlformats.org/officeDocument/2006/relationships" name="22_Changelog" sheetId="23" state="visible" r:id="rId23"/>
    <sheet xmlns:r="http://schemas.openxmlformats.org/officeDocument/2006/relationships" name="23_Liste" sheetId="24" state="visible" r:id="rId24"/>
    <sheet xmlns:r="http://schemas.openxmlformats.org/officeDocument/2006/relationships" name="01_Dashboard" sheetId="25" state="visible" r:id="rId25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17212B"/>
      <sz val="10"/>
    </font>
    <font>
      <name val="Carlito"/>
      <i val="1"/>
      <color rgb="FF7C4A03"/>
      <sz val="11"/>
    </font>
    <font>
      <name val="Carlito"/>
      <b val="1"/>
      <color rgb="FFFFFFFF"/>
      <sz val="18"/>
    </font>
    <font>
      <name val="Carlito"/>
      <b val="1"/>
      <color rgb="FF12202F"/>
      <sz val="14"/>
    </font>
    <font>
      <name val="Carlito"/>
      <b val="1"/>
      <color rgb="FF4A2B00"/>
      <sz val="11"/>
    </font>
  </fonts>
  <fills count="9">
    <fill>
      <patternFill/>
    </fill>
    <fill>
      <patternFill patternType="gray125"/>
    </fill>
    <fill>
      <patternFill patternType="solid">
        <fgColor rgb="FF12202F"/>
      </patternFill>
    </fill>
    <fill>
      <patternFill patternType="solid">
        <fgColor rgb="FF0F766E"/>
      </patternFill>
    </fill>
    <fill>
      <patternFill patternType="solid">
        <fgColor rgb="FFFFF7E6"/>
      </patternFill>
    </fill>
    <fill>
      <patternFill patternType="solid">
        <fgColor rgb="FF7C3AED"/>
      </patternFill>
    </fill>
    <fill>
      <patternFill patternType="solid">
        <fgColor rgb="FFDFF6FF"/>
      </patternFill>
    </fill>
    <fill>
      <patternFill patternType="solid">
        <fgColor rgb="FF4C5F70"/>
      </patternFill>
    </fill>
    <fill>
      <patternFill patternType="solid">
        <fgColor rgb="FFF59E0B"/>
      </patternFill>
    </fill>
  </fills>
  <borders count="2">
    <border/>
    <border/>
  </borders>
  <cellStyleXfs count="1">
    <xf numFmtId="0" fontId="0" fillId="0" borderId="1"/>
  </cellStyleXfs>
  <cellXfs count="7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0" fillId="5" borderId="0" pivotButton="0" quotePrefix="0" xfId="0"/>
    <xf numFmtId="0" fontId="2" fillId="5" borderId="0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3" fillId="0" borderId="0" applyAlignment="1" pivotButton="0" quotePrefix="0" xfId="0">
      <alignment vertical="top" wrapText="1"/>
    </xf>
    <xf numFmtId="164" fontId="0" fillId="0" borderId="0" pivotButton="0" quotePrefix="0" xfId="0"/>
    <xf numFmtId="164" fontId="3" fillId="0" borderId="1" applyAlignment="1" pivotButton="0" quotePrefix="0" xfId="0">
      <alignment vertical="top" wrapText="1"/>
    </xf>
    <xf numFmtId="164" fontId="0" fillId="0" borderId="1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0" fontId="5" fillId="2" borderId="1" pivotButton="0" quotePrefix="0" xfId="0"/>
    <xf numFmtId="0" fontId="5" fillId="2" borderId="1" applyAlignment="1" pivotButton="0" quotePrefix="0" xfId="0">
      <alignment vertic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wrapText="1"/>
    </xf>
    <xf numFmtId="0" fontId="6" fillId="6" borderId="0" applyAlignment="1" pivotButton="0" quotePrefix="0" xfId="0">
      <alignment horizontal="center" wrapText="1"/>
    </xf>
    <xf numFmtId="0" fontId="6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wrapText="1"/>
    </xf>
    <xf numFmtId="0" fontId="6" fillId="6" borderId="1" applyAlignment="1" pivotButton="0" quotePrefix="0" xfId="0">
      <alignment horizontal="center" wrapText="1"/>
    </xf>
    <xf numFmtId="0" fontId="6" fillId="6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0" fillId="7" borderId="0" pivotButton="0" quotePrefix="0" xfId="0"/>
    <xf numFmtId="0" fontId="2" fillId="7" borderId="0" pivotButton="0" quotePrefix="0" xfId="0"/>
    <xf numFmtId="0" fontId="0" fillId="7" borderId="1" pivotButton="0" quotePrefix="0" xfId="0"/>
    <xf numFmtId="0" fontId="2" fillId="7" borderId="1" pivotButton="0" quotePrefix="0" xfId="0"/>
    <xf numFmtId="0" fontId="2" fillId="7" borderId="0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0" fillId="8" borderId="0" pivotButton="0" quotePrefix="0" xfId="0"/>
    <xf numFmtId="0" fontId="7" fillId="8" borderId="0" pivotButton="0" quotePrefix="0" xfId="0"/>
    <xf numFmtId="0" fontId="0" fillId="8" borderId="1" pivotButton="0" quotePrefix="0" xfId="0"/>
    <xf numFmtId="0" fontId="7" fillId="8" borderId="1" pivotButton="0" quotePrefix="0" xfId="0"/>
    <xf numFmtId="164" fontId="3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applyAlignment="1" pivotButton="0" quotePrefix="0" xfId="0">
      <alignment wrapText="1"/>
    </xf>
  </cellXfs>
  <cellStyles count="1">
    <cellStyle name="Normal" xfId="0"/>
  </cellStyles>
  <dxfs count="4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0C4A6E"/>
      </font>
      <fill>
        <patternFill patternType="solid">
          <bgColor rgb="FFE0F2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Distribuzione eroi per ruolo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Hero</v>
          </tx>
          <spPr>
            <a:ln xmlns:a="http://schemas.openxmlformats.org/drawingml/2006/main">
              <a:prstDash val="solid"/>
            </a:ln>
          </spPr>
          <cat>
            <strRef>
              <f>'01_Dashboard'!$A$9:$A$15</f>
              <strCache>
                <ptCount val="0"/>
              </strCache>
            </strRef>
          </cat>
          <val>
            <numRef>
              <f>'01_Dashboard'!$B$9:$B$15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14</row>
      <rowOff>0</rowOff>
    </from>
    <to>
      <col>10</col>
      <colOff>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IndexTable" displayName="IndexTable" ref="A3:F26" headerRowCount="1">
  <tableColumns count="6">
    <tableColumn id="1" name="Foglio"/>
    <tableColumn id="2" name="Scopo"/>
    <tableColumn id="3" name="Entità/Righe"/>
    <tableColumn id="4" name="Proprietà/Colonne"/>
    <tableColumn id="5" name="Uso consigliato"/>
    <tableColumn id="6" name="Stato"/>
  </tableColumns>
  <tableStyleInfo name="TableStyleMedium2" showRowStripes="1"/>
</table>
</file>

<file path=xl/tables/table2.xml><?xml version="1.0" encoding="utf-8"?>
<table xmlns="http://schemas.openxmlformats.org/spreadsheetml/2006/main" id="2" name="RosterTable" displayName="RosterTable" ref="A3:K41" headerRowCount="1">
  <tableColumns count="11">
    <tableColumn id="1" name="Hero"/>
    <tableColumn id="2" name="Roster_Status"/>
    <tableColumn id="3" name="Ruolo_Primario"/>
    <tableColumn id="4" name="Ruolo_Secondario"/>
    <tableColumn id="5" name="Specializzazione_RT"/>
    <tableColumn id="6" name="Profilo_Range"/>
    <tableColumn id="7" name="Tipo_Danno"/>
    <tableColumn id="8" name="Complessità"/>
    <tableColumn id="9" name="Vertical_Slice"/>
    <tableColumn id="10" name="Risorsa_Firma"/>
    <tableColumn id="11" name="Nota_Bilanciamento"/>
  </tableColumns>
  <tableStyleInfo name="TableStyleMedium2" showRowStripes="1"/>
</table>
</file>

<file path=xl/tables/table3.xml><?xml version="1.0" encoding="utf-8"?>
<table xmlns="http://schemas.openxmlformats.org/spreadsheetml/2006/main" id="3" name="StatsBaseTable" displayName="StatsBaseTable" ref="A3:O41" headerRowCount="1">
  <tableColumns count="15">
    <tableColumn id="1" name="Hero"/>
    <tableColumn id="2" name="Ruolo"/>
    <tableColumn id="3" name="HP"/>
    <tableColumn id="4" name="Armatura"/>
    <tableColumn id="5" name="Resistenza"/>
    <tableColumn id="6" name="Movimento_Base"/>
    <tableColumn id="7" name="Iniziativa"/>
    <tableColumn id="8" name="Precisione_1_10"/>
    <tableColumn id="9" name="Potenza_1_10"/>
    <tableColumn id="10" name="Controllo_1_10"/>
    <tableColumn id="11" name="Supporto_1_10"/>
    <tableColumn id="12" name="Durabilità_1_10"/>
    <tableColumn id="13" name="Indice_Combat"/>
    <tableColumn id="14" name="Budget_Punti"/>
    <tableColumn id="15" name="Delta_Budget"/>
  </tableColumns>
  <tableStyleInfo name="TableStyleMedium2" showRowStripes="1"/>
</table>
</file>

<file path=xl/tables/table4.xml><?xml version="1.0" encoding="utf-8"?>
<table xmlns="http://schemas.openxmlformats.org/spreadsheetml/2006/main" id="4" name="VisionTable" displayName="VisionTable" ref="A3:O41" headerRowCount="1">
  <tableColumns count="15">
    <tableColumn id="1" name="Hero"/>
    <tableColumn id="2" name="Ruolo"/>
    <tableColumn id="3" name="Sight_Range_Hex"/>
    <tableColumn id="4" name="Detection_0_100"/>
    <tableColumn id="5" name="Identification_0_100"/>
    <tableColumn id="6" name="Tracking_Turni"/>
    <tableColumn id="7" name="Vision_Height"/>
    <tableColumn id="8" name="Stealth_1_10"/>
    <tableColumn id="9" name="Reveal_Recovery_Step"/>
    <tableColumn id="10" name="Spotting_Support_1_10"/>
    <tableColumn id="11" name="Firma_Movimento"/>
    <tableColumn id="12" name="Firma_Attacco"/>
    <tableColumn id="13" name="Sensor_Resist_1_10"/>
    <tableColumn id="14" name="Contatto_Default"/>
    <tableColumn id="15" name="Note"/>
  </tableColumns>
  <tableStyleInfo name="TableStyleMedium2" showRowStripes="1"/>
</table>
</file>

<file path=xl/tables/table5.xml><?xml version="1.0" encoding="utf-8"?>
<table xmlns="http://schemas.openxmlformats.org/spreadsheetml/2006/main" id="5" name="MobilityTable" displayName="MobilityTable" ref="A3:P41" headerRowCount="1">
  <tableColumns count="16">
    <tableColumn id="1" name="Hero"/>
    <tableColumn id="2" name="Ruolo"/>
    <tableColumn id="3" name="Move_Hex"/>
    <tableColumn id="4" name="Sprint_Bonus"/>
    <tableColumn id="5" name="Dash_Range"/>
    <tableColumn id="6" name="Verticalità_1_10"/>
    <tableColumn id="7" name="Costo_Acqua"/>
    <tableColumn id="8" name="Costo_Ghiaccio"/>
    <tableColumn id="9" name="Costo_Fango"/>
    <tableColumn id="10" name="Porta_AP"/>
    <tableColumn id="11" name="Ponte_Mod"/>
    <tableColumn id="12" name="Tunnel_Mod"/>
    <tableColumn id="13" name="Ascensore_AP"/>
    <tableColumn id="14" name="Knockback_Resist"/>
    <tableColumn id="15" name="Collision_Priority"/>
    <tableColumn id="16" name="Note"/>
  </tableColumns>
  <tableStyleInfo name="TableStyleMedium2" showRowStripes="1"/>
</table>
</file>

<file path=xl/tables/table6.xml><?xml version="1.0" encoding="utf-8"?>
<table xmlns="http://schemas.openxmlformats.org/spreadsheetml/2006/main" id="6" name="AbilitiesVSTable" displayName="AbilitiesVSTable" ref="A3:O19" headerRowCount="1">
  <tableColumns count="15">
    <tableColumn id="1" name="Ability_ID"/>
    <tableColumn id="2" name="Hero"/>
    <tableColumn id="3" name="Nome"/>
    <tableColumn id="4" name="Categoria"/>
    <tableColumn id="5" name="Priorità"/>
    <tableColumn id="6" name="Costo_Risorsa"/>
    <tableColumn id="7" name="Cooldown_Turni"/>
    <tableColumn id="8" name="Range_Hex"/>
    <tableColumn id="9" name="AoE_Radius"/>
    <tableColumn id="10" name="Danno_Base"/>
    <tableColumn id="11" name="Control_Strength"/>
    <tableColumn id="12" name="Durata_Turni"/>
    <tableColumn id="13" name="Loss_Contact_Policy"/>
    <tableColumn id="14" name="Interazione_Terreno"/>
    <tableColumn id="15" name="Gameplay_Tags"/>
  </tableColumns>
  <tableStyleInfo name="TableStyleMedium2" showRowStripes="1"/>
</table>
</file>

<file path=xl/tables/table7.xml><?xml version="1.0" encoding="utf-8"?>
<table xmlns="http://schemas.openxmlformats.org/spreadsheetml/2006/main" id="7" name="FastReactionTable" displayName="FastReactionTable" ref="A3:L11" headerRowCount="1">
  <tableColumns count="12">
    <tableColumn id="1" name="Reaction_ID"/>
    <tableColumn id="2" name="Hero"/>
    <tableColumn id="3" name="Trigger"/>
    <tableColumn id="4" name="Tipo"/>
    <tableColumn id="5" name="Finestra_sec"/>
    <tableColumn id="6" name="Costo"/>
    <tableColumn id="7" name="Priorità"/>
    <tableColumn id="8" name="Exclusive_Group"/>
    <tableColumn id="9" name="Scelta_A"/>
    <tableColumn id="10" name="Scelta_B"/>
    <tableColumn id="11" name="Default_Timeout"/>
    <tableColumn id="12" name="Tradeoff"/>
  </tableColumns>
  <tableStyleInfo name="TableStyleMedium2" showRowStripes="1"/>
</table>
</file>

<file path=xl/tables/table8.xml><?xml version="1.0" encoding="utf-8"?>
<table xmlns="http://schemas.openxmlformats.org/spreadsheetml/2006/main" id="8" name="TerrainTable" displayName="TerrainTable" ref="A3:O20" headerRowCount="1">
  <tableColumns count="15">
    <tableColumn id="1" name="Terrain_ID"/>
    <tableColumn id="2" name="Nome"/>
    <tableColumn id="3" name="Categoria"/>
    <tableColumn id="4" name="Move_Cost"/>
    <tableColumn id="5" name="Opacità_0_5"/>
    <tableColumn id="6" name="Occultamento"/>
    <tableColumn id="7" name="Cover_Value"/>
    <tableColumn id="8" name="Blocks_LOS"/>
    <tableColumn id="9" name="Flammable"/>
    <tableColumn id="10" name="Conductive"/>
    <tableColumn id="11" name="Dynamic"/>
    <tableColumn id="12" name="Noise_Mod"/>
    <tableColumn id="13" name="Height"/>
    <tableColumn id="14" name="Hazard_Slots"/>
    <tableColumn id="15" name="Note"/>
  </tableColumns>
  <tableStyleInfo name="TableStyleMedium2" showRowStripes="1"/>
</table>
</file>

<file path=xl/tables/table9.xml><?xml version="1.0" encoding="utf-8"?>
<table xmlns="http://schemas.openxmlformats.org/spreadsheetml/2006/main" id="9" name="HazardTable" displayName="HazardTable" ref="A3:M12" headerRowCount="1">
  <tableColumns count="13">
    <tableColumn id="1" name="Hazard_ID"/>
    <tableColumn id="2" name="Nome"/>
    <tableColumn id="3" name="Tipo"/>
    <tableColumn id="4" name="Danno_Turno"/>
    <tableColumn id="5" name="Control"/>
    <tableColumn id="6" name="Durata"/>
    <tableColumn id="7" name="Max_Stack"/>
    <tableColumn id="8" name="Propagation_pct"/>
    <tableColumn id="9" name="Opacity"/>
    <tableColumn id="10" name="Reveal_Bonus"/>
    <tableColumn id="11" name="Counter"/>
    <tableColumn id="12" name="Effetto"/>
    <tableColumn id="13" name="Visibility_Audience"/>
  </tableColumns>
  <tableStyleInfo name="TableStyleMedium2" showRowStripes="1"/>
</table>
</file>

<file path=xl/tables/table10.xml><?xml version="1.0" encoding="utf-8"?>
<table xmlns="http://schemas.openxmlformats.org/spreadsheetml/2006/main" id="10" name="InteractionMatrix" displayName="InteractionMatrix" ref="A3:L11" headerRowCount="1">
  <tableColumns count="12">
    <tableColumn id="1" name="Effetto\Superficie"/>
    <tableColumn id="2" name="Terreno libero"/>
    <tableColumn id="3" name="Vegetazione"/>
    <tableColumn id="4" name="Acqua bassa"/>
    <tableColumn id="5" name="Acqua profonda"/>
    <tableColumn id="6" name="Ghiaccio"/>
    <tableColumn id="7" name="Fango"/>
    <tableColumn id="8" name="Metallo/Ponte"/>
    <tableColumn id="9" name="Cover legno"/>
    <tableColumn id="10" name="Cover pietra"/>
    <tableColumn id="11" name="Fumo"/>
    <tableColumn id="12" name="Porta"/>
  </tableColumns>
  <tableStyleInfo name="TableStyleMedium2" showRowStripes="1"/>
</table>
</file>

<file path=xl/tables/table11.xml><?xml version="1.0" encoding="utf-8"?>
<table xmlns="http://schemas.openxmlformats.org/spreadsheetml/2006/main" id="11" name="CoverTable" displayName="CoverTable" ref="A3:J11" headerRowCount="1">
  <tableColumns count="10">
    <tableColumn id="1" name="Cover_ID"/>
    <tableColumn id="2" name="Nome"/>
    <tableColumn id="3" name="Cover_Value"/>
    <tableColumn id="4" name="Opacity"/>
    <tableColumn id="5" name="Hit_Reduction_pct"/>
    <tableColumn id="6" name="Concealment"/>
    <tableColumn id="7" name="Height_Class"/>
    <tableColumn id="8" name="Blocks_LOS"/>
    <tableColumn id="9" name="Directional"/>
    <tableColumn id="10" name="Note"/>
  </tableColumns>
  <tableStyleInfo name="TableStyleMedium2" showRowStripes="1"/>
</table>
</file>

<file path=xl/tables/table12.xml><?xml version="1.0" encoding="utf-8"?>
<table xmlns="http://schemas.openxmlformats.org/spreadsheetml/2006/main" id="12" name="EquipmentTable" displayName="EquipmentTable" ref="A3:J23" headerRowCount="1">
  <tableColumns count="10">
    <tableColumn id="1" name="Equipment_ID"/>
    <tableColumn id="2" name="Hero_Affinity"/>
    <tableColumn id="3" name="Slot"/>
    <tableColumn id="4" name="Nome"/>
    <tableColumn id="5" name="Ruolo_Affinity"/>
    <tableColumn id="6" name="Budget"/>
    <tableColumn id="7" name="Vantaggio"/>
    <tableColumn id="8" name="Svantaggio"/>
    <tableColumn id="9" name="Sinergia"/>
    <tableColumn id="10" name="Principio"/>
  </tableColumns>
  <tableStyleInfo name="TableStyleMedium2" showRowStripes="1"/>
</table>
</file>

<file path=xl/tables/table13.xml><?xml version="1.0" encoding="utf-8"?>
<table xmlns="http://schemas.openxmlformats.org/spreadsheetml/2006/main" id="13" name="VariantsTable" displayName="VariantsTable" ref="A3:G19" headerRowCount="1">
  <tableColumns count="7">
    <tableColumn id="1" name="Variant_ID"/>
    <tableColumn id="2" name="Hero"/>
    <tableColumn id="3" name="Nome"/>
    <tableColumn id="4" name="Vantaggio"/>
    <tableColumn id="5" name="Svantaggio"/>
    <tableColumn id="6" name="Incompatibile_Con"/>
    <tableColumn id="7" name="Specializzazione"/>
  </tableColumns>
  <tableStyleInfo name="TableStyleMedium2" showRowStripes="1"/>
</table>
</file>

<file path=xl/tables/table14.xml><?xml version="1.0" encoding="utf-8"?>
<table xmlns="http://schemas.openxmlformats.org/spreadsheetml/2006/main" id="14" name="StatusTable" displayName="StatusTable" ref="A3:I21" headerRowCount="1">
  <tableColumns count="9">
    <tableColumn id="1" name="Status_ID"/>
    <tableColumn id="2" name="Nome"/>
    <tableColumn id="3" name="Categoria"/>
    <tableColumn id="4" name="Durata_Default"/>
    <tableColumn id="5" name="Max_Stack"/>
    <tableColumn id="6" name="Stack_Policy"/>
    <tableColumn id="7" name="Counter"/>
    <tableColumn id="8" name="Effetto"/>
    <tableColumn id="9" name="Audience"/>
  </tableColumns>
  <tableStyleInfo name="TableStyleMedium2" showRowStripes="1"/>
</table>
</file>

<file path=xl/tables/table15.xml><?xml version="1.0" encoding="utf-8"?>
<table xmlns="http://schemas.openxmlformats.org/spreadsheetml/2006/main" id="15" name="ActionsTable" displayName="ActionsTable" ref="A3:J15" headerRowCount="1">
  <tableColumns count="10">
    <tableColumn id="1" name="Action_ID"/>
    <tableColumn id="2" name="Nome"/>
    <tableColumn id="3" name="Fase"/>
    <tableColumn id="4" name="Priorità_Base"/>
    <tableColumn id="5" name="AP_Cost"/>
    <tableColumn id="6" name="Network"/>
    <tableColumn id="7" name="Targeting"/>
    <tableColumn id="8" name="Fallback"/>
    <tableColumn id="9" name="Invalidation"/>
    <tableColumn id="10" name="Resolver_Stage"/>
  </tableColumns>
  <tableStyleInfo name="TableStyleMedium2" showRowStripes="1"/>
</table>
</file>

<file path=xl/tables/table16.xml><?xml version="1.0" encoding="utf-8"?>
<table xmlns="http://schemas.openxmlformats.org/spreadsheetml/2006/main" id="16" name="ObjectivesTable" displayName="ObjectivesTable" ref="A3:I11" headerRowCount="1">
  <tableColumns count="9">
    <tableColumn id="1" name="Objective_ID"/>
    <tableColumn id="2" name="Nome"/>
    <tableColumn id="3" name="Punti_Turno"/>
    <tableColumn id="4" name="Contest_Radius"/>
    <tableColumn id="5" name="Activate_Turni"/>
    <tableColumn id="6" name="Reveal_Turn"/>
    <tableColumn id="7" name="Risk_1_3"/>
    <tableColumn id="8" name="Regola_Dinamica"/>
    <tableColumn id="9" name="Focus"/>
  </tableColumns>
  <tableStyleInfo name="TableStyleMedium2" showRowStripes="1"/>
</table>
</file>

<file path=xl/tables/table17.xml><?xml version="1.0" encoding="utf-8"?>
<table xmlns="http://schemas.openxmlformats.org/spreadsheetml/2006/main" id="17" name="TransitionsTable" displayName="TransitionsTable" ref="A3:I15" headerRowCount="1">
  <tableColumns count="9">
    <tableColumn id="1" name="Edge_ID"/>
    <tableColumn id="2" name="Tipo"/>
    <tableColumn id="3" name="Physical_Cost"/>
    <tableColumn id="4" name="Condizione"/>
    <tableColumn id="5" name="Interaction_Required"/>
    <tableColumn id="6" name="Damage_Risk"/>
    <tableColumn id="7" name="Tactical_Risk"/>
    <tableColumn id="8" name="Validity"/>
    <tableColumn id="9" name="Categoria"/>
  </tableColumns>
  <tableStyleInfo name="TableStyleMedium2" showRowStripes="1"/>
</table>
</file>

<file path=xl/tables/table18.xml><?xml version="1.0" encoding="utf-8"?>
<table xmlns="http://schemas.openxmlformats.org/spreadsheetml/2006/main" id="18" name="ResourcesTable" displayName="ResourcesTable" ref="A3:J12" headerRowCount="1">
  <tableColumns count="10">
    <tableColumn id="1" name="Resource_ID"/>
    <tableColumn id="2" name="Nome"/>
    <tableColumn id="3" name="Owner"/>
    <tableColumn id="4" name="Cap"/>
    <tableColumn id="5" name="Start"/>
    <tableColumn id="6" name="Regen"/>
    <tableColumn id="7" name="Regen_Trigger"/>
    <tableColumn id="8" name="Spesa"/>
    <tableColumn id="9" name="Regola"/>
    <tableColumn id="10" name="Audience"/>
  </tableColumns>
  <tableStyleInfo name="TableStyleMedium2" showRowStripes="1"/>
</table>
</file>

<file path=xl/tables/table19.xml><?xml version="1.0" encoding="utf-8"?>
<table xmlns="http://schemas.openxmlformats.org/spreadsheetml/2006/main" id="19" name="AIScoringTable" displayName="AIScoringTable" ref="A3:H15" headerRowCount="1">
  <tableColumns count="8">
    <tableColumn id="1" name="Criterion"/>
    <tableColumn id="2" name="Guardian"/>
    <tableColumn id="3" name="Controller"/>
    <tableColumn id="4" name="Striker"/>
    <tableColumn id="5" name="Marksman"/>
    <tableColumn id="6" name="Support"/>
    <tableColumn id="7" name="Infiltrator"/>
    <tableColumn id="8" name="Bruiser"/>
  </tableColumns>
  <tableStyleInfo name="TableStyleMedium2" showRowStripes="1"/>
</table>
</file>

<file path=xl/tables/table20.xml><?xml version="1.0" encoding="utf-8"?>
<table xmlns="http://schemas.openxmlformats.org/spreadsheetml/2006/main" id="20" name="NetworkTable" displayName="NetworkTable" ref="A3:I14" headerRowCount="1">
  <tableColumns count="9">
    <tableColumn id="1" name="Payload"/>
    <tableColumn id="2" name="Contenuto"/>
    <tableColumn id="3" name="Audience"/>
    <tableColumn id="4" name="Update_Hz"/>
    <tableColumn id="5" name="Reliability"/>
    <tableColumn id="6" name="Trasporto"/>
    <tableColumn id="7" name="Privacy_Regola"/>
    <tableColumn id="8" name="Priorità"/>
    <tableColumn id="9" name="Target"/>
  </tableColumns>
  <tableStyleInfo name="TableStyleMedium2" showRowStripes="1"/>
</table>
</file>

<file path=xl/tables/table21.xml><?xml version="1.0" encoding="utf-8"?>
<table xmlns="http://schemas.openxmlformats.org/spreadsheetml/2006/main" id="21" name="KPITable" displayName="KPITable" ref="A3:H13" headerRowCount="1">
  <tableColumns count="8">
    <tableColumn id="1" name="KPI"/>
    <tableColumn id="2" name="Area"/>
    <tableColumn id="3" name="Target"/>
    <tableColumn id="4" name="Warning_Threshold"/>
    <tableColumn id="5" name="Unità"/>
    <tableColumn id="6" name="Metodo"/>
    <tableColumn id="7" name="Priorità"/>
    <tableColumn id="8" name="Note"/>
  </tableColumns>
  <tableStyleInfo name="TableStyleMedium2" showRowStripes="1"/>
</table>
</file>

<file path=xl/tables/table22.xml><?xml version="1.0" encoding="utf-8"?>
<table xmlns="http://schemas.openxmlformats.org/spreadsheetml/2006/main" id="22" name="ChangeLogTable" displayName="ChangeLogTable" ref="A3:K6" headerRowCount="1">
  <tableColumns count="11">
    <tableColumn id="1" name="Data"/>
    <tableColumn id="2" name="Versione"/>
    <tableColumn id="3" name="Foglio"/>
    <tableColumn id="4" name="Entity_ID"/>
    <tableColumn id="5" name="Proprietà"/>
    <tableColumn id="6" name="Valore_Precedente"/>
    <tableColumn id="7" name="Valore_Nuovo"/>
    <tableColumn id="8" name="Motivazione"/>
    <tableColumn id="9" name="Fonte_Test"/>
    <tableColumn id="10" name="Autore"/>
    <tableColumn id="11" name="Stato"/>
  </tableColumns>
  <tableStyleInfo name="TableStyleMedium2" showRowStripes="1"/>
</table>
</file>

<file path=xl/tables/table23.xml><?xml version="1.0" encoding="utf-8"?>
<table xmlns="http://schemas.openxmlformats.org/spreadsheetml/2006/main" id="23" name="ListsTable" displayName="ListsTable" ref="A3:B44" headerRowCount="1">
  <tableColumns count="2">
    <tableColumn id="1" name="Categoria"/>
    <tableColumn id="2" name="Valor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0" customWidth="1" style="58" min="1" max="1"/>
    <col width="75" customWidth="1" style="58" min="2" max="2"/>
    <col width="24" customWidth="1" style="58" min="3" max="3"/>
    <col width="34" customWidth="1" style="58" min="4" max="4"/>
    <col width="30" customWidth="1" style="58" min="5" max="5"/>
    <col width="16" customWidth="1" style="58" min="6" max="6"/>
  </cols>
  <sheetData>
    <row r="1" ht="30" customHeight="1" s="58">
      <c r="A1" s="9" t="inlineStr">
        <is>
          <t>RefactorTactics — Matrici di bilanciamento v0.1</t>
        </is>
      </c>
      <c r="B1" s="1" t="n"/>
      <c r="C1" s="1" t="n"/>
      <c r="D1" s="1" t="n"/>
      <c r="E1" s="1" t="n"/>
      <c r="F1" s="1" t="n"/>
    </row>
    <row r="3" ht="34" customHeight="1" s="58">
      <c r="A3" s="14" t="inlineStr">
        <is>
          <t>Foglio</t>
        </is>
      </c>
      <c r="B3" s="14" t="inlineStr">
        <is>
          <t>Scopo</t>
        </is>
      </c>
      <c r="C3" s="14" t="inlineStr">
        <is>
          <t>Entità/Righe</t>
        </is>
      </c>
      <c r="D3" s="14" t="inlineStr">
        <is>
          <t>Proprietà/Colonne</t>
        </is>
      </c>
      <c r="E3" s="14" t="inlineStr">
        <is>
          <t>Uso consigliato</t>
        </is>
      </c>
      <c r="F3" s="14" t="inlineStr">
        <is>
          <t>Stato</t>
        </is>
      </c>
    </row>
    <row r="4">
      <c r="A4" s="22" t="inlineStr">
        <is>
          <t>01_Dashboard</t>
        </is>
      </c>
      <c r="B4" s="22" t="inlineStr">
        <is>
          <t>Sintesi KPI e distribuzione roster</t>
        </is>
      </c>
      <c r="C4" s="22" t="inlineStr">
        <is>
          <t>Ruoli e KPI</t>
        </is>
      </c>
      <c r="D4" s="22" t="inlineStr">
        <is>
          <t>Conteggi, medie, target</t>
        </is>
      </c>
      <c r="E4" s="22" t="inlineStr">
        <is>
          <t>Controllo rapido</t>
        </is>
      </c>
      <c r="F4" s="22" t="inlineStr">
        <is>
          <t>v0.1</t>
        </is>
      </c>
    </row>
    <row r="5">
      <c r="A5" s="22" t="inlineStr">
        <is>
          <t>02_Roster</t>
        </is>
      </c>
      <c r="B5" s="22" t="inlineStr">
        <is>
          <t>Banca archetipi Paragon adattata a RefactorTactics</t>
        </is>
      </c>
      <c r="C5" s="22" t="inlineStr">
        <is>
          <t>Eroi</t>
        </is>
      </c>
      <c r="D5" s="22" t="inlineStr">
        <is>
          <t>Ruoli, specializzazioni, profilo</t>
        </is>
      </c>
      <c r="E5" s="22" t="inlineStr">
        <is>
          <t>Selezione roster</t>
        </is>
      </c>
      <c r="F5" s="22" t="inlineStr">
        <is>
          <t>Proposta</t>
        </is>
      </c>
    </row>
    <row r="6">
      <c r="A6" s="22" t="inlineStr">
        <is>
          <t>03_Stats_Base</t>
        </is>
      </c>
      <c r="B6" s="22" t="inlineStr">
        <is>
          <t>Valori combattimento iniziali</t>
        </is>
      </c>
      <c r="C6" s="22" t="inlineStr">
        <is>
          <t>Eroi</t>
        </is>
      </c>
      <c r="D6" s="22" t="inlineStr">
        <is>
          <t>HP, difese, potenza, controllo</t>
        </is>
      </c>
      <c r="E6" s="22" t="inlineStr">
        <is>
          <t>Bilanciamento base</t>
        </is>
      </c>
      <c r="F6" s="22" t="inlineStr">
        <is>
          <t>Proposta</t>
        </is>
      </c>
    </row>
    <row r="7">
      <c r="A7" s="22" t="inlineStr">
        <is>
          <t>04_Visione_Stealth</t>
        </is>
      </c>
      <c r="B7" s="22" t="inlineStr">
        <is>
          <t>Fog of war, rilevamento e tracking</t>
        </is>
      </c>
      <c r="C7" s="22" t="inlineStr">
        <is>
          <t>Eroi</t>
        </is>
      </c>
      <c r="D7" s="22" t="inlineStr">
        <is>
          <t>Sight, Detection, Identification, Stealth</t>
        </is>
      </c>
      <c r="E7" s="22" t="inlineStr">
        <is>
          <t>Bilanciamento informazione</t>
        </is>
      </c>
      <c r="F7" s="22" t="inlineStr">
        <is>
          <t>Proposta</t>
        </is>
      </c>
    </row>
    <row r="8">
      <c r="A8" s="22" t="inlineStr">
        <is>
          <t>04b_Visione_Parametri</t>
        </is>
      </c>
      <c r="B8" s="22" t="inlineStr">
        <is>
          <t>Soglie, pesi e cadenza del sistema di visione</t>
        </is>
      </c>
      <c r="C8" s="22" t="inlineStr">
        <is>
          <t>Parametri globali</t>
        </is>
      </c>
      <c r="D8" s="22" t="inlineStr">
        <is>
          <t>Valore completo / valore v0.1 / scope</t>
        </is>
      </c>
      <c r="E8" s="22" t="inlineStr">
        <is>
          <t>Assegnazione dei numeri di visione</t>
        </is>
      </c>
      <c r="F8" s="22" t="inlineStr">
        <is>
          <t>P1</t>
        </is>
      </c>
    </row>
    <row r="9">
      <c r="A9" s="22" t="inlineStr">
        <is>
          <t>05_Mobilita</t>
        </is>
      </c>
      <c r="B9" s="22" t="inlineStr">
        <is>
          <t>Movimento su grafo esagonale multilivello</t>
        </is>
      </c>
      <c r="C9" s="22" t="inlineStr">
        <is>
          <t>Eroi</t>
        </is>
      </c>
      <c r="D9" s="22" t="inlineStr">
        <is>
          <t>Move, dash, verticalità, transizioni</t>
        </is>
      </c>
      <c r="E9" s="22" t="inlineStr">
        <is>
          <t>Pathfinding e mappe</t>
        </is>
      </c>
      <c r="F9" s="22" t="inlineStr">
        <is>
          <t>Proposta</t>
        </is>
      </c>
    </row>
    <row r="10">
      <c r="A10" s="22" t="inlineStr">
        <is>
          <t>06_Abilita_VS</t>
        </is>
      </c>
      <c r="B10" s="22" t="inlineStr">
        <is>
          <t>Kit completo vertical slice</t>
        </is>
      </c>
      <c r="C10" s="22" t="inlineStr">
        <is>
          <t>Abilità</t>
        </is>
      </c>
      <c r="D10" s="22" t="inlineStr">
        <is>
          <t>Costo, cooldown, range, effetti</t>
        </is>
      </c>
      <c r="E10" s="22" t="inlineStr">
        <is>
          <t>Implementazione iniziale</t>
        </is>
      </c>
      <c r="F10" s="22" t="inlineStr">
        <is>
          <t>P0</t>
        </is>
      </c>
    </row>
    <row r="11">
      <c r="A11" s="22" t="inlineStr">
        <is>
          <t>07_Fast_Reactions</t>
        </is>
      </c>
      <c r="B11" s="22" t="inlineStr">
        <is>
          <t>Scelte rapide durante la resolution</t>
        </is>
      </c>
      <c r="C11" s="22" t="inlineStr">
        <is>
          <t>Reazioni</t>
        </is>
      </c>
      <c r="D11" s="22" t="inlineStr">
        <is>
          <t>Trigger, tempo, costo, esclusione</t>
        </is>
      </c>
      <c r="E11" s="22" t="inlineStr">
        <is>
          <t>FastSelect/Fast Reaction</t>
        </is>
      </c>
      <c r="F11" s="22" t="inlineStr">
        <is>
          <t>P0</t>
        </is>
      </c>
    </row>
    <row r="12">
      <c r="A12" s="22" t="inlineStr">
        <is>
          <t>08_Terreni</t>
        </is>
      </c>
      <c r="B12" s="22" t="inlineStr">
        <is>
          <t>Definizioni data-driven delle celle</t>
        </is>
      </c>
      <c r="C12" s="22" t="inlineStr">
        <is>
          <t>Terreni</t>
        </is>
      </c>
      <c r="D12" s="22" t="inlineStr">
        <is>
          <t>Costi, opacità, cover, hazard</t>
        </is>
      </c>
      <c r="E12" s="22" t="inlineStr">
        <is>
          <t>Map/grid</t>
        </is>
      </c>
      <c r="F12" s="22" t="inlineStr">
        <is>
          <t>P0</t>
        </is>
      </c>
    </row>
    <row r="13">
      <c r="A13" s="22" t="inlineStr">
        <is>
          <t>09_Hazard_Effetti</t>
        </is>
      </c>
      <c r="B13" s="22" t="inlineStr">
        <is>
          <t>Effetti ambientali persistenti</t>
        </is>
      </c>
      <c r="C13" s="22" t="inlineStr">
        <is>
          <t>Hazard</t>
        </is>
      </c>
      <c r="D13" s="22" t="inlineStr">
        <is>
          <t>Danno, propagazione, durata</t>
        </is>
      </c>
      <c r="E13" s="22" t="inlineStr">
        <is>
          <t>Resolver ambiente</t>
        </is>
      </c>
      <c r="F13" s="22" t="inlineStr">
        <is>
          <t>P0</t>
        </is>
      </c>
    </row>
    <row r="14">
      <c r="A14" s="22" t="inlineStr">
        <is>
          <t>10_Interazioni</t>
        </is>
      </c>
      <c r="B14" s="22" t="inlineStr">
        <is>
          <t>Matrice effetto × superficie</t>
        </is>
      </c>
      <c r="C14" s="22" t="inlineStr">
        <is>
          <t>Effetti</t>
        </is>
      </c>
      <c r="D14" s="22" t="inlineStr">
        <is>
          <t>Superfici</t>
        </is>
      </c>
      <c r="E14" s="22" t="inlineStr">
        <is>
          <t>Combo e trasformazioni</t>
        </is>
      </c>
      <c r="F14" s="22" t="inlineStr">
        <is>
          <t>P0</t>
        </is>
      </c>
    </row>
    <row r="15">
      <c r="A15" s="22" t="inlineStr">
        <is>
          <t>11_Cover_LOS</t>
        </is>
      </c>
      <c r="B15" s="22" t="inlineStr">
        <is>
          <t>Copertura, occultamento e opacità</t>
        </is>
      </c>
      <c r="C15" s="22" t="inlineStr">
        <is>
          <t>Tipi cover</t>
        </is>
      </c>
      <c r="D15" s="22" t="inlineStr">
        <is>
          <t>Direzioni, blocchi, bonus</t>
        </is>
      </c>
      <c r="E15" s="22" t="inlineStr">
        <is>
          <t>LOS/Targeting</t>
        </is>
      </c>
      <c r="F15" s="22" t="inlineStr">
        <is>
          <t>P0</t>
        </is>
      </c>
    </row>
    <row r="16">
      <c r="A16" s="22" t="inlineStr">
        <is>
          <t>12_Equipaggiamento</t>
        </is>
      </c>
      <c r="B16" s="22" t="inlineStr">
        <is>
          <t>Item orizzontali con trade-off</t>
        </is>
      </c>
      <c r="C16" s="22" t="inlineStr">
        <is>
          <t>Equipaggiamenti</t>
        </is>
      </c>
      <c r="D16" s="22" t="inlineStr">
        <is>
          <t>Slot, bonus, penalità</t>
        </is>
      </c>
      <c r="E16" s="22" t="inlineStr">
        <is>
          <t>Build personaggio</t>
        </is>
      </c>
      <c r="F16" s="22" t="inlineStr">
        <is>
          <t>P1</t>
        </is>
      </c>
    </row>
    <row r="17">
      <c r="A17" s="22" t="inlineStr">
        <is>
          <t>13_Talenti_Varianti</t>
        </is>
      </c>
      <c r="B17" s="22" t="inlineStr">
        <is>
          <t>Varianti e talenti non lineari</t>
        </is>
      </c>
      <c r="C17" s="22" t="inlineStr">
        <is>
          <t>Varianti</t>
        </is>
      </c>
      <c r="D17" s="22" t="inlineStr">
        <is>
          <t>Beneficio, costo, incompatibilità</t>
        </is>
      </c>
      <c r="E17" s="22" t="inlineStr">
        <is>
          <t>Progressione orizzontale</t>
        </is>
      </c>
      <c r="F17" s="22" t="inlineStr">
        <is>
          <t>P1</t>
        </is>
      </c>
    </row>
    <row r="18">
      <c r="A18" s="22" t="inlineStr">
        <is>
          <t>14_Status_Effects</t>
        </is>
      </c>
      <c r="B18" s="22" t="inlineStr">
        <is>
          <t>Stati di combattimento e percezione</t>
        </is>
      </c>
      <c r="C18" s="22" t="inlineStr">
        <is>
          <t>Status</t>
        </is>
      </c>
      <c r="D18" s="22" t="inlineStr">
        <is>
          <t>Durata, stack, dispel, impatto</t>
        </is>
      </c>
      <c r="E18" s="22" t="inlineStr">
        <is>
          <t>Effects system</t>
        </is>
      </c>
      <c r="F18" s="22" t="inlineStr">
        <is>
          <t>P0</t>
        </is>
      </c>
    </row>
    <row r="19">
      <c r="A19" s="22" t="inlineStr">
        <is>
          <t>15_Azioni_Turni</t>
        </is>
      </c>
      <c r="B19" s="22" t="inlineStr">
        <is>
          <t>Azioni selezionabili e fasi</t>
        </is>
      </c>
      <c r="C19" s="22" t="inlineStr">
        <is>
          <t>Azioni</t>
        </is>
      </c>
      <c r="D19" s="22" t="inlineStr">
        <is>
          <t>Fase, priorità, costo, policy</t>
        </is>
      </c>
      <c r="E19" s="22" t="inlineStr">
        <is>
          <t>Turn manager</t>
        </is>
      </c>
      <c r="F19" s="22" t="inlineStr">
        <is>
          <t>P0</t>
        </is>
      </c>
    </row>
    <row r="20">
      <c r="A20" s="22" t="inlineStr">
        <is>
          <t>16_Obiettivi</t>
        </is>
      </c>
      <c r="B20" s="22" t="inlineStr">
        <is>
          <t>Obiettivi dinamici</t>
        </is>
      </c>
      <c r="C20" s="22" t="inlineStr">
        <is>
          <t>Obiettivi</t>
        </is>
      </c>
      <c r="D20" s="22" t="inlineStr">
        <is>
          <t>Punteggio, durata, contestazione</t>
        </is>
      </c>
      <c r="E20" s="22" t="inlineStr">
        <is>
          <t>Modalità</t>
        </is>
      </c>
      <c r="F20" s="22" t="inlineStr">
        <is>
          <t>P1</t>
        </is>
      </c>
    </row>
    <row r="21">
      <c r="A21" s="22" t="inlineStr">
        <is>
          <t>17_Transizioni_Map</t>
        </is>
      </c>
      <c r="B21" s="22" t="inlineStr">
        <is>
          <t>Archi del grafo multilivello</t>
        </is>
      </c>
      <c r="C21" s="22" t="inlineStr">
        <is>
          <t>Transizioni</t>
        </is>
      </c>
      <c r="D21" s="22" t="inlineStr">
        <is>
          <t>Costo, requisiti, rischio</t>
        </is>
      </c>
      <c r="E21" s="22" t="inlineStr">
        <is>
          <t>A* e map state</t>
        </is>
      </c>
      <c r="F21" s="22" t="inlineStr">
        <is>
          <t>P0</t>
        </is>
      </c>
    </row>
    <row r="22">
      <c r="A22" s="22" t="inlineStr">
        <is>
          <t>18_Risorse</t>
        </is>
      </c>
      <c r="B22" s="22" t="inlineStr">
        <is>
          <t>Risorse globali e specifiche</t>
        </is>
      </c>
      <c r="C22" s="22" t="inlineStr">
        <is>
          <t>Risorse</t>
        </is>
      </c>
      <c r="D22" s="22" t="inlineStr">
        <is>
          <t>Cap, regen, consumo</t>
        </is>
      </c>
      <c r="E22" s="22" t="inlineStr">
        <is>
          <t>Ability/economy</t>
        </is>
      </c>
      <c r="F22" s="22" t="inlineStr">
        <is>
          <t>P0</t>
        </is>
      </c>
    </row>
    <row r="23">
      <c r="A23" s="22" t="inlineStr">
        <is>
          <t>19_AI_Scoring</t>
        </is>
      </c>
      <c r="B23" s="22" t="inlineStr">
        <is>
          <t>Pesi iniziali bot</t>
        </is>
      </c>
      <c r="C23" s="22" t="inlineStr">
        <is>
          <t>Criteri</t>
        </is>
      </c>
      <c r="D23" s="22" t="inlineStr">
        <is>
          <t>Ruoli</t>
        </is>
      </c>
      <c r="E23" s="22" t="inlineStr">
        <is>
          <t>Bot e simulazioni</t>
        </is>
      </c>
      <c r="F23" s="22" t="inlineStr">
        <is>
          <t>P1</t>
        </is>
      </c>
    </row>
    <row r="24">
      <c r="A24" s="22" t="inlineStr">
        <is>
          <t>20_Network_Privacy</t>
        </is>
      </c>
      <c r="B24" s="22" t="inlineStr">
        <is>
          <t>Parametri rete e audience</t>
        </is>
      </c>
      <c r="C24" s="22" t="inlineStr">
        <is>
          <t>Payload</t>
        </is>
      </c>
      <c r="D24" s="22" t="inlineStr">
        <is>
          <t>Hz, reliability, visibilità</t>
        </is>
      </c>
      <c r="E24" s="22" t="inlineStr">
        <is>
          <t>Zero intent leak</t>
        </is>
      </c>
      <c r="F24" s="22" t="inlineStr">
        <is>
          <t>P1</t>
        </is>
      </c>
    </row>
    <row r="25">
      <c r="A25" s="22" t="inlineStr">
        <is>
          <t>21_KPI_Tecnici</t>
        </is>
      </c>
      <c r="B25" s="22" t="inlineStr">
        <is>
          <t>Budget prestazionali e qualità</t>
        </is>
      </c>
      <c r="C25" s="22" t="inlineStr">
        <is>
          <t>KPI</t>
        </is>
      </c>
      <c r="D25" s="22" t="inlineStr">
        <is>
          <t>Target, soglia, misurazione</t>
        </is>
      </c>
      <c r="E25" s="22" t="inlineStr">
        <is>
          <t>Definition of Done</t>
        </is>
      </c>
      <c r="F25" s="22" t="inlineStr">
        <is>
          <t>P0</t>
        </is>
      </c>
    </row>
    <row r="26">
      <c r="A26" s="22" t="inlineStr">
        <is>
          <t>22_Changelog</t>
        </is>
      </c>
      <c r="B26" s="22" t="inlineStr">
        <is>
          <t>Storico modifiche di bilanciamento</t>
        </is>
      </c>
      <c r="C26" s="22" t="inlineStr">
        <is>
          <t>Modifiche</t>
        </is>
      </c>
      <c r="D26" s="22" t="inlineStr">
        <is>
          <t>Versione, valore, motivazione</t>
        </is>
      </c>
      <c r="E26" s="22" t="inlineStr">
        <is>
          <t>Governance</t>
        </is>
      </c>
      <c r="F26" s="22" t="inlineStr">
        <is>
          <t>Attivo</t>
        </is>
      </c>
    </row>
    <row r="27">
      <c r="A27" s="22" t="inlineStr">
        <is>
          <t>23_Liste</t>
        </is>
      </c>
      <c r="B27" s="22" t="inlineStr">
        <is>
          <t>Liste controllate per dropdown</t>
        </is>
      </c>
      <c r="C27" s="22" t="inlineStr">
        <is>
          <t>Valori</t>
        </is>
      </c>
      <c r="D27" s="22" t="inlineStr">
        <is>
          <t>Categorie</t>
        </is>
      </c>
      <c r="E27" s="22" t="inlineStr">
        <is>
          <t>Data validation</t>
        </is>
      </c>
      <c r="F27" s="22" t="inlineStr">
        <is>
          <t>Supporto</t>
        </is>
      </c>
    </row>
    <row r="29" ht="34" customHeight="1" s="58">
      <c r="A29" s="1" t="n"/>
      <c r="B29" s="1" t="n"/>
      <c r="C29" s="1" t="n"/>
      <c r="D29" s="1" t="n"/>
      <c r="E29" s="1" t="n"/>
      <c r="F29" s="1" t="n"/>
    </row>
    <row r="30" ht="24" customHeight="1" s="58">
      <c r="A30" s="31" t="inlineStr">
        <is>
          <t>Assunzioni: UE5 stabile bloccata per milestone; vertical slice 2v2; griglia esagonale multilivello; valori deterministici e interi; i valori sono baseline da playtest, non dati originali di Paragon.</t>
        </is>
      </c>
      <c r="B30" s="1" t="n"/>
      <c r="C30" s="1" t="n"/>
      <c r="D30" s="1" t="n"/>
      <c r="E30" s="1" t="n"/>
      <c r="F30" s="1" t="n"/>
    </row>
    <row r="31">
      <c r="A31" s="35" t="inlineStr">
        <is>
          <t>Fonti roster e asset (solo per identificazione degli eroi; tutti i valori di gioco sono originali RefactorTactics)</t>
        </is>
      </c>
      <c r="B31" s="1" t="n"/>
      <c r="C31" s="1" t="n"/>
      <c r="D31" s="1" t="n"/>
      <c r="E31" s="1" t="n"/>
      <c r="F31" s="1" t="n"/>
    </row>
    <row r="32">
      <c r="A32" s="12" t="inlineStr">
        <is>
          <t>Fonte</t>
        </is>
      </c>
      <c r="B32" s="12" t="inlineStr">
        <is>
          <t>URL</t>
        </is>
      </c>
    </row>
    <row r="33">
      <c r="A33" s="36" t="inlineStr">
        <is>
          <t>Epic Games — Paragon content release</t>
        </is>
      </c>
      <c r="B33" s="36" t="inlineStr">
        <is>
          <t>https://www.unrealengine.com/paragon</t>
        </is>
      </c>
    </row>
    <row r="34">
      <c r="A34" s="36" t="inlineStr">
        <is>
          <t>Epic Games — Final round of assets</t>
        </is>
      </c>
      <c r="B34" s="36" t="inlineStr">
        <is>
          <t>https://www.unrealengine.com/blog/final-round-of-free-paragon-assets-released</t>
        </is>
      </c>
    </row>
    <row r="35">
      <c r="A35" s="36" t="inlineStr">
        <is>
          <t>Paragon Wiki — Heroes</t>
        </is>
      </c>
      <c r="B35" s="36" t="inlineStr">
        <is>
          <t>https://paragon.fandom.com/wiki/Heroes</t>
        </is>
      </c>
    </row>
  </sheetData>
  <mergeCells count="3">
    <mergeCell ref="A30:F30"/>
    <mergeCell ref="A1:F1"/>
    <mergeCell ref="A29:F2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0" customWidth="1" style="58" min="1" max="1"/>
    <col width="16" customWidth="1" style="58" min="2" max="2"/>
    <col width="17" customWidth="1" style="58" min="3" max="3"/>
    <col width="18" customWidth="1" style="58" min="4" max="4"/>
    <col width="28" customWidth="1" style="58" min="5" max="5"/>
    <col width="14" customWidth="1" style="58" min="6" max="6"/>
    <col width="14" customWidth="1" style="58" min="7" max="7"/>
    <col width="13" customWidth="1" style="58" min="8" max="8"/>
    <col width="13" customWidth="1" style="58" min="9" max="9"/>
    <col width="21" customWidth="1" style="58" min="10" max="10"/>
    <col width="38" customWidth="1" style="58" min="11" max="11"/>
  </cols>
  <sheetData>
    <row r="1" ht="30" customHeight="1" s="58">
      <c r="A1" s="9" t="inlineStr">
        <is>
          <t>Roster Paragon adattato a RefactorTactics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 ht="34" customHeight="1" s="58">
      <c r="A3" s="14" t="inlineStr">
        <is>
          <t>Hero</t>
        </is>
      </c>
      <c r="B3" s="14" t="inlineStr">
        <is>
          <t>Roster_Status</t>
        </is>
      </c>
      <c r="C3" s="14" t="inlineStr">
        <is>
          <t>Ruolo_Primario</t>
        </is>
      </c>
      <c r="D3" s="14" t="inlineStr">
        <is>
          <t>Ruolo_Secondario</t>
        </is>
      </c>
      <c r="E3" s="14" t="inlineStr">
        <is>
          <t>Specializzazione_RT</t>
        </is>
      </c>
      <c r="F3" s="14" t="inlineStr">
        <is>
          <t>Profilo_Range</t>
        </is>
      </c>
      <c r="G3" s="14" t="inlineStr">
        <is>
          <t>Tipo_Danno</t>
        </is>
      </c>
      <c r="H3" s="14" t="inlineStr">
        <is>
          <t>Complessità</t>
        </is>
      </c>
      <c r="I3" s="14" t="inlineStr">
        <is>
          <t>Vertical_Slice</t>
        </is>
      </c>
      <c r="J3" s="14" t="inlineStr">
        <is>
          <t>Risorsa_Firma</t>
        </is>
      </c>
      <c r="K3" s="14" t="inlineStr">
        <is>
          <t>Nota_Bilanciamento</t>
        </is>
      </c>
    </row>
    <row r="4">
      <c r="A4" s="22" t="inlineStr">
        <is>
          <t>Aurora</t>
        </is>
      </c>
      <c r="B4" s="22" t="inlineStr">
        <is>
          <t>Candidate</t>
        </is>
      </c>
      <c r="C4" s="22" t="inlineStr">
        <is>
          <t>Controller</t>
        </is>
      </c>
      <c r="D4" s="22" t="inlineStr">
        <is>
          <t>Striker</t>
        </is>
      </c>
      <c r="E4" s="22" t="inlineStr">
        <is>
          <t>Cryo Terrain Shaper</t>
        </is>
      </c>
      <c r="F4" s="22" t="inlineStr">
        <is>
          <t>Medium</t>
        </is>
      </c>
      <c r="G4" s="22" t="inlineStr">
        <is>
          <t>Cold</t>
        </is>
      </c>
      <c r="H4" s="22" t="inlineStr">
        <is>
          <t>High</t>
        </is>
      </c>
      <c r="I4" s="22" t="inlineStr">
        <is>
          <t>No</t>
        </is>
      </c>
      <c r="J4" s="22" t="inlineStr">
        <is>
          <t>Da definire</t>
        </is>
      </c>
      <c r="K4" s="22" t="inlineStr">
        <is>
          <t>Kit prioritario del vertical slice</t>
        </is>
      </c>
    </row>
    <row r="5">
      <c r="A5" s="22" t="inlineStr">
        <is>
          <t>Countess</t>
        </is>
      </c>
      <c r="B5" s="22" t="inlineStr">
        <is>
          <t>Candidate</t>
        </is>
      </c>
      <c r="C5" s="22" t="inlineStr">
        <is>
          <t>Infiltrator</t>
        </is>
      </c>
      <c r="D5" s="22" t="inlineStr">
        <is>
          <t>Striker</t>
        </is>
      </c>
      <c r="E5" s="22" t="inlineStr">
        <is>
          <t>Blink Assassin</t>
        </is>
      </c>
      <c r="F5" s="22" t="inlineStr">
        <is>
          <t>Melee</t>
        </is>
      </c>
      <c r="G5" s="22" t="inlineStr">
        <is>
          <t>Energy</t>
        </is>
      </c>
      <c r="H5" s="22" t="inlineStr">
        <is>
          <t>High</t>
        </is>
      </c>
      <c r="I5" s="22" t="inlineStr">
        <is>
          <t>No</t>
        </is>
      </c>
      <c r="J5" s="22" t="inlineStr">
        <is>
          <t>Da definire</t>
        </is>
      </c>
      <c r="K5" s="22" t="inlineStr">
        <is>
          <t>Valori iniziali derivati dal ruolo; richiede playtest</t>
        </is>
      </c>
    </row>
    <row r="6">
      <c r="A6" s="22" t="inlineStr">
        <is>
          <t>Crunch</t>
        </is>
      </c>
      <c r="B6" s="22" t="inlineStr">
        <is>
          <t>Candidate</t>
        </is>
      </c>
      <c r="C6" s="22" t="inlineStr">
        <is>
          <t>Bruiser</t>
        </is>
      </c>
      <c r="D6" s="22" t="inlineStr">
        <is>
          <t>Controller</t>
        </is>
      </c>
      <c r="E6" s="22" t="inlineStr">
        <is>
          <t>Combo Brawler</t>
        </is>
      </c>
      <c r="F6" s="22" t="inlineStr">
        <is>
          <t>Melee</t>
        </is>
      </c>
      <c r="G6" s="22" t="inlineStr">
        <is>
          <t>Kinetic</t>
        </is>
      </c>
      <c r="H6" s="22" t="inlineStr">
        <is>
          <t>High</t>
        </is>
      </c>
      <c r="I6" s="22" t="inlineStr">
        <is>
          <t>No</t>
        </is>
      </c>
      <c r="J6" s="22" t="inlineStr">
        <is>
          <t>Da definire</t>
        </is>
      </c>
      <c r="K6" s="22" t="inlineStr">
        <is>
          <t>Valori iniziali derivati dal ruolo; richiede playtest</t>
        </is>
      </c>
    </row>
    <row r="7">
      <c r="A7" s="22" t="inlineStr">
        <is>
          <t>Dekker</t>
        </is>
      </c>
      <c r="B7" s="22" t="inlineStr">
        <is>
          <t>Candidate</t>
        </is>
      </c>
      <c r="C7" s="22" t="inlineStr">
        <is>
          <t>Support</t>
        </is>
      </c>
      <c r="D7" s="22" t="inlineStr">
        <is>
          <t>Controller</t>
        </is>
      </c>
      <c r="E7" s="22" t="inlineStr">
        <is>
          <t>Zone Lockdown</t>
        </is>
      </c>
      <c r="F7" s="22" t="inlineStr">
        <is>
          <t>Long</t>
        </is>
      </c>
      <c r="G7" s="22" t="inlineStr">
        <is>
          <t>Energy</t>
        </is>
      </c>
      <c r="H7" s="22" t="inlineStr">
        <is>
          <t>Medium</t>
        </is>
      </c>
      <c r="I7" s="22" t="inlineStr">
        <is>
          <t>No</t>
        </is>
      </c>
      <c r="J7" s="22" t="inlineStr">
        <is>
          <t>Da definire</t>
        </is>
      </c>
      <c r="K7" s="22" t="inlineStr">
        <is>
          <t>Valori iniziali derivati dal ruolo; richiede playtest</t>
        </is>
      </c>
    </row>
    <row r="8">
      <c r="A8" s="22" t="inlineStr">
        <is>
          <t>Drongo</t>
        </is>
      </c>
      <c r="B8" s="22" t="inlineStr">
        <is>
          <t>Candidate</t>
        </is>
      </c>
      <c r="C8" s="22" t="inlineStr">
        <is>
          <t>Marksman</t>
        </is>
      </c>
      <c r="D8" s="22" t="inlineStr">
        <is>
          <t>Controller</t>
        </is>
      </c>
      <c r="E8" s="22" t="inlineStr">
        <is>
          <t>Area Denial Gunner</t>
        </is>
      </c>
      <c r="F8" s="22" t="inlineStr">
        <is>
          <t>Long</t>
        </is>
      </c>
      <c r="G8" s="22" t="inlineStr">
        <is>
          <t>Kinetic</t>
        </is>
      </c>
      <c r="H8" s="22" t="inlineStr">
        <is>
          <t>Medium</t>
        </is>
      </c>
      <c r="I8" s="22" t="inlineStr">
        <is>
          <t>No</t>
        </is>
      </c>
      <c r="J8" s="22" t="inlineStr">
        <is>
          <t>Da definire</t>
        </is>
      </c>
      <c r="K8" s="22" t="inlineStr">
        <is>
          <t>Valori iniziali derivati dal ruolo; richiede playtest</t>
        </is>
      </c>
    </row>
    <row r="9">
      <c r="A9" s="22" t="inlineStr">
        <is>
          <t>Feng Mao</t>
        </is>
      </c>
      <c r="B9" s="22" t="inlineStr">
        <is>
          <t>Candidate</t>
        </is>
      </c>
      <c r="C9" s="22" t="inlineStr">
        <is>
          <t>Bruiser</t>
        </is>
      </c>
      <c r="D9" s="22" t="inlineStr">
        <is>
          <t>Infiltrator</t>
        </is>
      </c>
      <c r="E9" s="22" t="inlineStr">
        <is>
          <t>Mobile Reaper</t>
        </is>
      </c>
      <c r="F9" s="22" t="inlineStr">
        <is>
          <t>Melee</t>
        </is>
      </c>
      <c r="G9" s="22" t="inlineStr">
        <is>
          <t>Kinetic</t>
        </is>
      </c>
      <c r="H9" s="22" t="inlineStr">
        <is>
          <t>Medium</t>
        </is>
      </c>
      <c r="I9" s="22" t="inlineStr">
        <is>
          <t>No</t>
        </is>
      </c>
      <c r="J9" s="22" t="inlineStr">
        <is>
          <t>Da definire</t>
        </is>
      </c>
      <c r="K9" s="22" t="inlineStr">
        <is>
          <t>Valori iniziali derivati dal ruolo; richiede playtest</t>
        </is>
      </c>
    </row>
    <row r="10">
      <c r="A10" s="22" t="inlineStr">
        <is>
          <t>Gadget</t>
        </is>
      </c>
      <c r="B10" s="22" t="inlineStr">
        <is>
          <t>Candidate</t>
        </is>
      </c>
      <c r="C10" s="22" t="inlineStr">
        <is>
          <t>Controller</t>
        </is>
      </c>
      <c r="D10" s="22" t="inlineStr">
        <is>
          <t>Support</t>
        </is>
      </c>
      <c r="E10" s="22" t="inlineStr">
        <is>
          <t>Trap Engineer</t>
        </is>
      </c>
      <c r="F10" s="22" t="inlineStr">
        <is>
          <t>Long</t>
        </is>
      </c>
      <c r="G10" s="22" t="inlineStr">
        <is>
          <t>Electric</t>
        </is>
      </c>
      <c r="H10" s="22" t="inlineStr">
        <is>
          <t>High</t>
        </is>
      </c>
      <c r="I10" s="22" t="inlineStr">
        <is>
          <t>No</t>
        </is>
      </c>
      <c r="J10" s="22" t="inlineStr">
        <is>
          <t>Da definire</t>
        </is>
      </c>
      <c r="K10" s="22" t="inlineStr">
        <is>
          <t>Valori iniziali derivati dal ruolo; richiede playtest</t>
        </is>
      </c>
    </row>
    <row r="11">
      <c r="A11" s="22" t="inlineStr">
        <is>
          <t>Gideon</t>
        </is>
      </c>
      <c r="B11" s="22" t="inlineStr">
        <is>
          <t>Candidate</t>
        </is>
      </c>
      <c r="C11" s="22" t="inlineStr">
        <is>
          <t>Controller</t>
        </is>
      </c>
      <c r="D11" s="22" t="inlineStr">
        <is>
          <t>Striker</t>
        </is>
      </c>
      <c r="E11" s="22" t="inlineStr">
        <is>
          <t>Gravity Artillery</t>
        </is>
      </c>
      <c r="F11" s="22" t="inlineStr">
        <is>
          <t>Long</t>
        </is>
      </c>
      <c r="G11" s="22" t="inlineStr">
        <is>
          <t>Energy</t>
        </is>
      </c>
      <c r="H11" s="22" t="inlineStr">
        <is>
          <t>Medium</t>
        </is>
      </c>
      <c r="I11" s="22" t="inlineStr">
        <is>
          <t>No</t>
        </is>
      </c>
      <c r="J11" s="22" t="inlineStr">
        <is>
          <t>Da definire</t>
        </is>
      </c>
      <c r="K11" s="22" t="inlineStr">
        <is>
          <t>Valori iniziali derivati dal ruolo; richiede playtest</t>
        </is>
      </c>
    </row>
    <row r="12">
      <c r="A12" s="22" t="inlineStr">
        <is>
          <t>Greystone</t>
        </is>
      </c>
      <c r="B12" s="22" t="inlineStr">
        <is>
          <t>Candidate</t>
        </is>
      </c>
      <c r="C12" s="22" t="inlineStr">
        <is>
          <t>Guardian</t>
        </is>
      </c>
      <c r="D12" s="22" t="inlineStr">
        <is>
          <t>Bruiser</t>
        </is>
      </c>
      <c r="E12" s="22" t="inlineStr">
        <is>
          <t>Attrition Vanguard</t>
        </is>
      </c>
      <c r="F12" s="22" t="inlineStr">
        <is>
          <t>Melee</t>
        </is>
      </c>
      <c r="G12" s="22" t="inlineStr">
        <is>
          <t>Kinetic</t>
        </is>
      </c>
      <c r="H12" s="22" t="inlineStr">
        <is>
          <t>Low</t>
        </is>
      </c>
      <c r="I12" s="22" t="inlineStr">
        <is>
          <t>No</t>
        </is>
      </c>
      <c r="J12" s="22" t="inlineStr">
        <is>
          <t>Da definire</t>
        </is>
      </c>
      <c r="K12" s="22" t="inlineStr">
        <is>
          <t>Valori iniziali derivati dal ruolo; richiede playtest</t>
        </is>
      </c>
    </row>
    <row r="13">
      <c r="A13" s="22" t="inlineStr">
        <is>
          <t>GRIM.exe</t>
        </is>
      </c>
      <c r="B13" s="22" t="inlineStr">
        <is>
          <t>Candidate</t>
        </is>
      </c>
      <c r="C13" s="22" t="inlineStr">
        <is>
          <t>Marksman</t>
        </is>
      </c>
      <c r="D13" s="22" t="inlineStr">
        <is>
          <t>Controller</t>
        </is>
      </c>
      <c r="E13" s="22" t="inlineStr">
        <is>
          <t>Energy Artillery</t>
        </is>
      </c>
      <c r="F13" s="22" t="inlineStr">
        <is>
          <t>Long</t>
        </is>
      </c>
      <c r="G13" s="22" t="inlineStr">
        <is>
          <t>Energy</t>
        </is>
      </c>
      <c r="H13" s="22" t="inlineStr">
        <is>
          <t>Medium</t>
        </is>
      </c>
      <c r="I13" s="22" t="inlineStr">
        <is>
          <t>No</t>
        </is>
      </c>
      <c r="J13" s="22" t="inlineStr">
        <is>
          <t>Da definire</t>
        </is>
      </c>
      <c r="K13" s="22" t="inlineStr">
        <is>
          <t>Valori iniziali derivati dal ruolo; richiede playtest</t>
        </is>
      </c>
    </row>
    <row r="14">
      <c r="A14" s="22" t="inlineStr">
        <is>
          <t>Grux</t>
        </is>
      </c>
      <c r="B14" s="22" t="inlineStr">
        <is>
          <t>Candidate</t>
        </is>
      </c>
      <c r="C14" s="22" t="inlineStr">
        <is>
          <t>Bruiser</t>
        </is>
      </c>
      <c r="D14" s="22" t="inlineStr">
        <is>
          <t>Controller</t>
        </is>
      </c>
      <c r="E14" s="22" t="inlineStr">
        <is>
          <t>Displacement Brawler</t>
        </is>
      </c>
      <c r="F14" s="22" t="inlineStr">
        <is>
          <t>Melee</t>
        </is>
      </c>
      <c r="G14" s="22" t="inlineStr">
        <is>
          <t>Kinetic</t>
        </is>
      </c>
      <c r="H14" s="22" t="inlineStr">
        <is>
          <t>Medium</t>
        </is>
      </c>
      <c r="I14" s="22" t="inlineStr">
        <is>
          <t>No</t>
        </is>
      </c>
      <c r="J14" s="22" t="inlineStr">
        <is>
          <t>Da definire</t>
        </is>
      </c>
      <c r="K14" s="22" t="inlineStr">
        <is>
          <t>Valori iniziali derivati dal ruolo; richiede playtest</t>
        </is>
      </c>
    </row>
    <row r="15">
      <c r="A15" s="22" t="inlineStr">
        <is>
          <t>Howitzer</t>
        </is>
      </c>
      <c r="B15" s="22" t="inlineStr">
        <is>
          <t>Candidate</t>
        </is>
      </c>
      <c r="C15" s="22" t="inlineStr">
        <is>
          <t>Controller</t>
        </is>
      </c>
      <c r="D15" s="22" t="inlineStr">
        <is>
          <t>Marksman</t>
        </is>
      </c>
      <c r="E15" s="22" t="inlineStr">
        <is>
          <t>Explosive Zoner</t>
        </is>
      </c>
      <c r="F15" s="22" t="inlineStr">
        <is>
          <t>Long</t>
        </is>
      </c>
      <c r="G15" s="22" t="inlineStr">
        <is>
          <t>Thermal</t>
        </is>
      </c>
      <c r="H15" s="22" t="inlineStr">
        <is>
          <t>High</t>
        </is>
      </c>
      <c r="I15" s="22" t="inlineStr">
        <is>
          <t>No</t>
        </is>
      </c>
      <c r="J15" s="22" t="inlineStr">
        <is>
          <t>Da definire</t>
        </is>
      </c>
      <c r="K15" s="22" t="inlineStr">
        <is>
          <t>Valori iniziali derivati dal ruolo; richiede playtest</t>
        </is>
      </c>
    </row>
    <row r="16">
      <c r="A16" s="22" t="inlineStr">
        <is>
          <t>Iggy &amp; Scorch</t>
        </is>
      </c>
      <c r="B16" s="22" t="inlineStr">
        <is>
          <t>Candidate</t>
        </is>
      </c>
      <c r="C16" s="22" t="inlineStr">
        <is>
          <t>Controller</t>
        </is>
      </c>
      <c r="D16" s="22" t="inlineStr">
        <is>
          <t>Bruiser</t>
        </is>
      </c>
      <c r="E16" s="22" t="inlineStr">
        <is>
          <t>Persistent Fire Control</t>
        </is>
      </c>
      <c r="F16" s="22" t="inlineStr">
        <is>
          <t>Medium</t>
        </is>
      </c>
      <c r="G16" s="22" t="inlineStr">
        <is>
          <t>Thermal</t>
        </is>
      </c>
      <c r="H16" s="22" t="inlineStr">
        <is>
          <t>High</t>
        </is>
      </c>
      <c r="I16" s="22" t="inlineStr">
        <is>
          <t>No</t>
        </is>
      </c>
      <c r="J16" s="22" t="inlineStr">
        <is>
          <t>Da definire</t>
        </is>
      </c>
      <c r="K16" s="22" t="inlineStr">
        <is>
          <t>Valori iniziali derivati dal ruolo; richiede playtest</t>
        </is>
      </c>
    </row>
    <row r="17">
      <c r="A17" s="22" t="inlineStr">
        <is>
          <t>Kallari</t>
        </is>
      </c>
      <c r="B17" s="22" t="inlineStr">
        <is>
          <t>Candidate</t>
        </is>
      </c>
      <c r="C17" s="22" t="inlineStr">
        <is>
          <t>Infiltrator</t>
        </is>
      </c>
      <c r="D17" s="22" t="inlineStr">
        <is>
          <t>Striker</t>
        </is>
      </c>
      <c r="E17" s="22" t="inlineStr">
        <is>
          <t>Vertical Stealth Assassin</t>
        </is>
      </c>
      <c r="F17" s="22" t="inlineStr">
        <is>
          <t>Melee</t>
        </is>
      </c>
      <c r="G17" s="22" t="inlineStr">
        <is>
          <t>Kinetic</t>
        </is>
      </c>
      <c r="H17" s="22" t="inlineStr">
        <is>
          <t>High</t>
        </is>
      </c>
      <c r="I17" s="22" t="inlineStr">
        <is>
          <t>No</t>
        </is>
      </c>
      <c r="J17" s="22" t="inlineStr">
        <is>
          <t>Da definire</t>
        </is>
      </c>
      <c r="K17" s="22" t="inlineStr">
        <is>
          <t>Valori iniziali derivati dal ruolo; richiede playtest</t>
        </is>
      </c>
    </row>
    <row r="18">
      <c r="A18" s="22" t="inlineStr">
        <is>
          <t>Khaimera</t>
        </is>
      </c>
      <c r="B18" s="22" t="inlineStr">
        <is>
          <t>Candidate</t>
        </is>
      </c>
      <c r="C18" s="22" t="inlineStr">
        <is>
          <t>Bruiser</t>
        </is>
      </c>
      <c r="D18" s="22" t="inlineStr">
        <is>
          <t>Striker</t>
        </is>
      </c>
      <c r="E18" s="22" t="inlineStr">
        <is>
          <t>Sustain Hunter</t>
        </is>
      </c>
      <c r="F18" s="22" t="inlineStr">
        <is>
          <t>Melee</t>
        </is>
      </c>
      <c r="G18" s="22" t="inlineStr">
        <is>
          <t>Kinetic</t>
        </is>
      </c>
      <c r="H18" s="22" t="inlineStr">
        <is>
          <t>Low</t>
        </is>
      </c>
      <c r="I18" s="22" t="inlineStr">
        <is>
          <t>No</t>
        </is>
      </c>
      <c r="J18" s="22" t="inlineStr">
        <is>
          <t>Da definire</t>
        </is>
      </c>
      <c r="K18" s="22" t="inlineStr">
        <is>
          <t>Valori iniziali derivati dal ruolo; richiede playtest</t>
        </is>
      </c>
    </row>
    <row r="19">
      <c r="A19" s="22" t="inlineStr">
        <is>
          <t>Kwang</t>
        </is>
      </c>
      <c r="B19" s="22" t="inlineStr">
        <is>
          <t>Candidate</t>
        </is>
      </c>
      <c r="C19" s="22" t="inlineStr">
        <is>
          <t>Bruiser</t>
        </is>
      </c>
      <c r="D19" s="22" t="inlineStr">
        <is>
          <t>Controller</t>
        </is>
      </c>
      <c r="E19" s="22" t="inlineStr">
        <is>
          <t>Electro Duelist</t>
        </is>
      </c>
      <c r="F19" s="22" t="inlineStr">
        <is>
          <t>Melee</t>
        </is>
      </c>
      <c r="G19" s="22" t="inlineStr">
        <is>
          <t>Electric</t>
        </is>
      </c>
      <c r="H19" s="22" t="inlineStr">
        <is>
          <t>High</t>
        </is>
      </c>
      <c r="I19" s="22" t="inlineStr">
        <is>
          <t>No</t>
        </is>
      </c>
      <c r="J19" s="22" t="inlineStr">
        <is>
          <t>Da definire</t>
        </is>
      </c>
      <c r="K19" s="22" t="inlineStr">
        <is>
          <t>Kit prioritario del vertical slice</t>
        </is>
      </c>
    </row>
    <row r="20">
      <c r="A20" s="22" t="inlineStr">
        <is>
          <t>Lt. Belica</t>
        </is>
      </c>
      <c r="B20" s="22" t="inlineStr">
        <is>
          <t>Candidate</t>
        </is>
      </c>
      <c r="C20" s="22" t="inlineStr">
        <is>
          <t>Controller</t>
        </is>
      </c>
      <c r="D20" s="22" t="inlineStr">
        <is>
          <t>Marksman</t>
        </is>
      </c>
      <c r="E20" s="22" t="inlineStr">
        <is>
          <t>Anti-Ability Enforcer</t>
        </is>
      </c>
      <c r="F20" s="22" t="inlineStr">
        <is>
          <t>Long</t>
        </is>
      </c>
      <c r="G20" s="22" t="inlineStr">
        <is>
          <t>Energy</t>
        </is>
      </c>
      <c r="H20" s="22" t="inlineStr">
        <is>
          <t>Medium</t>
        </is>
      </c>
      <c r="I20" s="22" t="inlineStr">
        <is>
          <t>No</t>
        </is>
      </c>
      <c r="J20" s="22" t="inlineStr">
        <is>
          <t>Da definire</t>
        </is>
      </c>
      <c r="K20" s="22" t="inlineStr">
        <is>
          <t>Valori iniziali derivati dal ruolo; richiede playtest</t>
        </is>
      </c>
    </row>
    <row r="21">
      <c r="A21" s="22" t="inlineStr">
        <is>
          <t>Morigesh</t>
        </is>
      </c>
      <c r="B21" s="22" t="inlineStr">
        <is>
          <t>Candidate</t>
        </is>
      </c>
      <c r="C21" s="22" t="inlineStr">
        <is>
          <t>Controller</t>
        </is>
      </c>
      <c r="D21" s="22" t="inlineStr">
        <is>
          <t>Infiltrator</t>
        </is>
      </c>
      <c r="E21" s="22" t="inlineStr">
        <is>
          <t>Curse Tracker</t>
        </is>
      </c>
      <c r="F21" s="22" t="inlineStr">
        <is>
          <t>Medium</t>
        </is>
      </c>
      <c r="G21" s="22" t="inlineStr">
        <is>
          <t>Toxic</t>
        </is>
      </c>
      <c r="H21" s="22" t="inlineStr">
        <is>
          <t>High</t>
        </is>
      </c>
      <c r="I21" s="22" t="inlineStr">
        <is>
          <t>No</t>
        </is>
      </c>
      <c r="J21" s="22" t="inlineStr">
        <is>
          <t>Da definire</t>
        </is>
      </c>
      <c r="K21" s="22" t="inlineStr">
        <is>
          <t>Valori iniziali derivati dal ruolo; richiede playtest</t>
        </is>
      </c>
    </row>
    <row r="22">
      <c r="A22" s="22" t="inlineStr">
        <is>
          <t>Murdock</t>
        </is>
      </c>
      <c r="B22" s="22" t="inlineStr">
        <is>
          <t>Candidate</t>
        </is>
      </c>
      <c r="C22" s="22" t="inlineStr">
        <is>
          <t>Marksman</t>
        </is>
      </c>
      <c r="D22" s="22" t="inlineStr">
        <is>
          <t>Controller</t>
        </is>
      </c>
      <c r="E22" s="22" t="inlineStr">
        <is>
          <t>Suppressive Sentinel</t>
        </is>
      </c>
      <c r="F22" s="22" t="inlineStr">
        <is>
          <t>Long</t>
        </is>
      </c>
      <c r="G22" s="22" t="inlineStr">
        <is>
          <t>Kinetic</t>
        </is>
      </c>
      <c r="H22" s="22" t="inlineStr">
        <is>
          <t>Medium</t>
        </is>
      </c>
      <c r="I22" s="22" t="inlineStr">
        <is>
          <t>No</t>
        </is>
      </c>
      <c r="J22" s="22" t="inlineStr">
        <is>
          <t>Da definire</t>
        </is>
      </c>
      <c r="K22" s="22" t="inlineStr">
        <is>
          <t>Kit prioritario del vertical slice</t>
        </is>
      </c>
    </row>
    <row r="23">
      <c r="A23" s="22" t="inlineStr">
        <is>
          <t>Muriel</t>
        </is>
      </c>
      <c r="B23" s="22" t="inlineStr">
        <is>
          <t>Candidate</t>
        </is>
      </c>
      <c r="C23" s="22" t="inlineStr">
        <is>
          <t>Support</t>
        </is>
      </c>
      <c r="D23" s="22" t="inlineStr">
        <is>
          <t>Guardian</t>
        </is>
      </c>
      <c r="E23" s="22" t="inlineStr">
        <is>
          <t>Remote Shield Specialist</t>
        </is>
      </c>
      <c r="F23" s="22" t="inlineStr">
        <is>
          <t>Long</t>
        </is>
      </c>
      <c r="G23" s="22" t="inlineStr">
        <is>
          <t>Energy</t>
        </is>
      </c>
      <c r="H23" s="22" t="inlineStr">
        <is>
          <t>Medium</t>
        </is>
      </c>
      <c r="I23" s="22" t="inlineStr">
        <is>
          <t>No</t>
        </is>
      </c>
      <c r="J23" s="22" t="inlineStr">
        <is>
          <t>Da definire</t>
        </is>
      </c>
      <c r="K23" s="22" t="inlineStr">
        <is>
          <t>Valori iniziali derivati dal ruolo; richiede playtest</t>
        </is>
      </c>
    </row>
    <row r="24">
      <c r="A24" s="22" t="inlineStr">
        <is>
          <t>Narbash</t>
        </is>
      </c>
      <c r="B24" s="22" t="inlineStr">
        <is>
          <t>Candidate</t>
        </is>
      </c>
      <c r="C24" s="22" t="inlineStr">
        <is>
          <t>Support</t>
        </is>
      </c>
      <c r="D24" s="22" t="inlineStr">
        <is>
          <t>Controller</t>
        </is>
      </c>
      <c r="E24" s="22" t="inlineStr">
        <is>
          <t>Aura Tempo Support</t>
        </is>
      </c>
      <c r="F24" s="22" t="inlineStr">
        <is>
          <t>Medium</t>
        </is>
      </c>
      <c r="G24" s="22" t="inlineStr">
        <is>
          <t>Kinetic</t>
        </is>
      </c>
      <c r="H24" s="22" t="inlineStr">
        <is>
          <t>Low</t>
        </is>
      </c>
      <c r="I24" s="22" t="inlineStr">
        <is>
          <t>No</t>
        </is>
      </c>
      <c r="J24" s="22" t="inlineStr">
        <is>
          <t>Da definire</t>
        </is>
      </c>
      <c r="K24" s="22" t="inlineStr">
        <is>
          <t>Valori iniziali derivati dal ruolo; richiede playtest</t>
        </is>
      </c>
    </row>
    <row r="25">
      <c r="A25" s="22" t="inlineStr">
        <is>
          <t>Phase</t>
        </is>
      </c>
      <c r="B25" s="22" t="inlineStr">
        <is>
          <t>Candidate</t>
        </is>
      </c>
      <c r="C25" s="22" t="inlineStr">
        <is>
          <t>Support</t>
        </is>
      </c>
      <c r="D25" s="22" t="inlineStr">
        <is>
          <t>Controller</t>
        </is>
      </c>
      <c r="E25" s="22" t="inlineStr">
        <is>
          <t>Link Rescue Support</t>
        </is>
      </c>
      <c r="F25" s="22" t="inlineStr">
        <is>
          <t>Long</t>
        </is>
      </c>
      <c r="G25" s="22" t="inlineStr">
        <is>
          <t>Energy</t>
        </is>
      </c>
      <c r="H25" s="22" t="inlineStr">
        <is>
          <t>High</t>
        </is>
      </c>
      <c r="I25" s="22" t="inlineStr">
        <is>
          <t>No</t>
        </is>
      </c>
      <c r="J25" s="22" t="inlineStr">
        <is>
          <t>Da definire</t>
        </is>
      </c>
      <c r="K25" s="22" t="inlineStr">
        <is>
          <t>Valori iniziali derivati dal ruolo; richiede playtest</t>
        </is>
      </c>
    </row>
    <row r="26">
      <c r="A26" s="22" t="inlineStr">
        <is>
          <t>Rampage</t>
        </is>
      </c>
      <c r="B26" s="22" t="inlineStr">
        <is>
          <t>Candidate</t>
        </is>
      </c>
      <c r="C26" s="22" t="inlineStr">
        <is>
          <t>Guardian</t>
        </is>
      </c>
      <c r="D26" s="22" t="inlineStr">
        <is>
          <t>Bruiser</t>
        </is>
      </c>
      <c r="E26" s="22" t="inlineStr">
        <is>
          <t>Leap Disruptor</t>
        </is>
      </c>
      <c r="F26" s="22" t="inlineStr">
        <is>
          <t>Melee</t>
        </is>
      </c>
      <c r="G26" s="22" t="inlineStr">
        <is>
          <t>Kinetic</t>
        </is>
      </c>
      <c r="H26" s="22" t="inlineStr">
        <is>
          <t>Medium</t>
        </is>
      </c>
      <c r="I26" s="22" t="inlineStr">
        <is>
          <t>No</t>
        </is>
      </c>
      <c r="J26" s="22" t="inlineStr">
        <is>
          <t>Da definire</t>
        </is>
      </c>
      <c r="K26" s="22" t="inlineStr">
        <is>
          <t>Valori iniziali derivati dal ruolo; richiede playtest</t>
        </is>
      </c>
    </row>
    <row r="27">
      <c r="A27" s="22" t="inlineStr">
        <is>
          <t>Revenant</t>
        </is>
      </c>
      <c r="B27" s="22" t="inlineStr">
        <is>
          <t>Candidate</t>
        </is>
      </c>
      <c r="C27" s="22" t="inlineStr">
        <is>
          <t>Marksman</t>
        </is>
      </c>
      <c r="D27" s="22" t="inlineStr">
        <is>
          <t>Infiltrator</t>
        </is>
      </c>
      <c r="E27" s="22" t="inlineStr">
        <is>
          <t>Execution Pistolero</t>
        </is>
      </c>
      <c r="F27" s="22" t="inlineStr">
        <is>
          <t>Long</t>
        </is>
      </c>
      <c r="G27" s="22" t="inlineStr">
        <is>
          <t>Energy</t>
        </is>
      </c>
      <c r="H27" s="22" t="inlineStr">
        <is>
          <t>High</t>
        </is>
      </c>
      <c r="I27" s="22" t="inlineStr">
        <is>
          <t>No</t>
        </is>
      </c>
      <c r="J27" s="22" t="inlineStr">
        <is>
          <t>Da definire</t>
        </is>
      </c>
      <c r="K27" s="22" t="inlineStr">
        <is>
          <t>Valori iniziali derivati dal ruolo; richiede playtest</t>
        </is>
      </c>
    </row>
    <row r="28">
      <c r="A28" s="22" t="inlineStr">
        <is>
          <t>Riktor</t>
        </is>
      </c>
      <c r="B28" s="22" t="inlineStr">
        <is>
          <t>Candidate</t>
        </is>
      </c>
      <c r="C28" s="22" t="inlineStr">
        <is>
          <t>Guardian</t>
        </is>
      </c>
      <c r="D28" s="22" t="inlineStr">
        <is>
          <t>Controller</t>
        </is>
      </c>
      <c r="E28" s="22" t="inlineStr">
        <is>
          <t>Hook Interdictor</t>
        </is>
      </c>
      <c r="F28" s="22" t="inlineStr">
        <is>
          <t>Medium</t>
        </is>
      </c>
      <c r="G28" s="22" t="inlineStr">
        <is>
          <t>Electric</t>
        </is>
      </c>
      <c r="H28" s="22" t="inlineStr">
        <is>
          <t>High</t>
        </is>
      </c>
      <c r="I28" s="22" t="inlineStr">
        <is>
          <t>No</t>
        </is>
      </c>
      <c r="J28" s="22" t="inlineStr">
        <is>
          <t>Da definire</t>
        </is>
      </c>
      <c r="K28" s="22" t="inlineStr">
        <is>
          <t>Valori iniziali derivati dal ruolo; richiede playtest</t>
        </is>
      </c>
    </row>
    <row r="29">
      <c r="A29" s="22" t="inlineStr">
        <is>
          <t>Serath</t>
        </is>
      </c>
      <c r="B29" s="22" t="inlineStr">
        <is>
          <t>Candidate</t>
        </is>
      </c>
      <c r="C29" s="22" t="inlineStr">
        <is>
          <t>Striker</t>
        </is>
      </c>
      <c r="D29" s="22" t="inlineStr">
        <is>
          <t>Bruiser</t>
        </is>
      </c>
      <c r="E29" s="22" t="inlineStr">
        <is>
          <t>Aerial Diver</t>
        </is>
      </c>
      <c r="F29" s="22" t="inlineStr">
        <is>
          <t>Melee</t>
        </is>
      </c>
      <c r="G29" s="22" t="inlineStr">
        <is>
          <t>Energy</t>
        </is>
      </c>
      <c r="H29" s="22" t="inlineStr">
        <is>
          <t>High</t>
        </is>
      </c>
      <c r="I29" s="22" t="inlineStr">
        <is>
          <t>No</t>
        </is>
      </c>
      <c r="J29" s="22" t="inlineStr">
        <is>
          <t>Da definire</t>
        </is>
      </c>
      <c r="K29" s="22" t="inlineStr">
        <is>
          <t>Valori iniziali derivati dal ruolo; richiede playtest</t>
        </is>
      </c>
    </row>
    <row r="30">
      <c r="A30" s="22" t="inlineStr">
        <is>
          <t>Sevarog</t>
        </is>
      </c>
      <c r="B30" s="22" t="inlineStr">
        <is>
          <t>Candidate</t>
        </is>
      </c>
      <c r="C30" s="22" t="inlineStr">
        <is>
          <t>Guardian</t>
        </is>
      </c>
      <c r="D30" s="22" t="inlineStr">
        <is>
          <t>Controller</t>
        </is>
      </c>
      <c r="E30" s="22" t="inlineStr">
        <is>
          <t>Soul Warden</t>
        </is>
      </c>
      <c r="F30" s="22" t="inlineStr">
        <is>
          <t>Melee</t>
        </is>
      </c>
      <c r="G30" s="22" t="inlineStr">
        <is>
          <t>Energy</t>
        </is>
      </c>
      <c r="H30" s="22" t="inlineStr">
        <is>
          <t>High</t>
        </is>
      </c>
      <c r="I30" s="22" t="inlineStr">
        <is>
          <t>No</t>
        </is>
      </c>
      <c r="J30" s="22" t="inlineStr">
        <is>
          <t>Da definire</t>
        </is>
      </c>
      <c r="K30" s="22" t="inlineStr">
        <is>
          <t>Valori iniziali derivati dal ruolo; richiede playtest</t>
        </is>
      </c>
    </row>
    <row r="31">
      <c r="A31" s="22" t="inlineStr">
        <is>
          <t>Shinbi</t>
        </is>
      </c>
      <c r="B31" s="22" t="inlineStr">
        <is>
          <t>Candidate</t>
        </is>
      </c>
      <c r="C31" s="22" t="inlineStr">
        <is>
          <t>Striker</t>
        </is>
      </c>
      <c r="D31" s="22" t="inlineStr">
        <is>
          <t>Controller</t>
        </is>
      </c>
      <c r="E31" s="22" t="inlineStr">
        <is>
          <t>Mobility Combo Caster</t>
        </is>
      </c>
      <c r="F31" s="22" t="inlineStr">
        <is>
          <t>Medium</t>
        </is>
      </c>
      <c r="G31" s="22" t="inlineStr">
        <is>
          <t>Energy</t>
        </is>
      </c>
      <c r="H31" s="22" t="inlineStr">
        <is>
          <t>High</t>
        </is>
      </c>
      <c r="I31" s="22" t="inlineStr">
        <is>
          <t>No</t>
        </is>
      </c>
      <c r="J31" s="22" t="inlineStr">
        <is>
          <t>Da definire</t>
        </is>
      </c>
      <c r="K31" s="22" t="inlineStr">
        <is>
          <t>Valori iniziali derivati dal ruolo; richiede playtest</t>
        </is>
      </c>
    </row>
    <row r="32">
      <c r="A32" s="22" t="inlineStr">
        <is>
          <t>Sparrow</t>
        </is>
      </c>
      <c r="B32" s="22" t="inlineStr">
        <is>
          <t>Candidate</t>
        </is>
      </c>
      <c r="C32" s="22" t="inlineStr">
        <is>
          <t>Marksman</t>
        </is>
      </c>
      <c r="D32" s="22" t="inlineStr">
        <is>
          <t>Striker</t>
        </is>
      </c>
      <c r="E32" s="22" t="inlineStr">
        <is>
          <t>Precision Archer</t>
        </is>
      </c>
      <c r="F32" s="22" t="inlineStr">
        <is>
          <t>Long</t>
        </is>
      </c>
      <c r="G32" s="22" t="inlineStr">
        <is>
          <t>Kinetic</t>
        </is>
      </c>
      <c r="H32" s="22" t="inlineStr">
        <is>
          <t>Low</t>
        </is>
      </c>
      <c r="I32" s="22" t="inlineStr">
        <is>
          <t>No</t>
        </is>
      </c>
      <c r="J32" s="22" t="inlineStr">
        <is>
          <t>Da definire</t>
        </is>
      </c>
      <c r="K32" s="22" t="inlineStr">
        <is>
          <t>Valori iniziali derivati dal ruolo; richiede playtest</t>
        </is>
      </c>
    </row>
    <row r="33">
      <c r="A33" s="22" t="inlineStr">
        <is>
          <t>Steel</t>
        </is>
      </c>
      <c r="B33" s="22" t="inlineStr">
        <is>
          <t>Candidate</t>
        </is>
      </c>
      <c r="C33" s="22" t="inlineStr">
        <is>
          <t>Guardian</t>
        </is>
      </c>
      <c r="D33" s="22" t="inlineStr">
        <is>
          <t>Controller</t>
        </is>
      </c>
      <c r="E33" s="22" t="inlineStr">
        <is>
          <t>Shield Interposer</t>
        </is>
      </c>
      <c r="F33" s="22" t="inlineStr">
        <is>
          <t>Short</t>
        </is>
      </c>
      <c r="G33" s="22" t="inlineStr">
        <is>
          <t>Kinetic</t>
        </is>
      </c>
      <c r="H33" s="22" t="inlineStr">
        <is>
          <t>Medium</t>
        </is>
      </c>
      <c r="I33" s="22" t="inlineStr">
        <is>
          <t>No</t>
        </is>
      </c>
      <c r="J33" s="22" t="inlineStr">
        <is>
          <t>Da definire</t>
        </is>
      </c>
      <c r="K33" s="22" t="inlineStr">
        <is>
          <t>Kit prioritario del vertical slice</t>
        </is>
      </c>
    </row>
    <row r="34">
      <c r="A34" s="22" t="inlineStr">
        <is>
          <t>Terra</t>
        </is>
      </c>
      <c r="B34" s="22" t="inlineStr">
        <is>
          <t>Candidate</t>
        </is>
      </c>
      <c r="C34" s="22" t="inlineStr">
        <is>
          <t>Guardian</t>
        </is>
      </c>
      <c r="D34" s="22" t="inlineStr">
        <is>
          <t>Bruiser</t>
        </is>
      </c>
      <c r="E34" s="22" t="inlineStr">
        <is>
          <t>Anti-Control Bulwark</t>
        </is>
      </c>
      <c r="F34" s="22" t="inlineStr">
        <is>
          <t>Melee</t>
        </is>
      </c>
      <c r="G34" s="22" t="inlineStr">
        <is>
          <t>Kinetic</t>
        </is>
      </c>
      <c r="H34" s="22" t="inlineStr">
        <is>
          <t>Medium</t>
        </is>
      </c>
      <c r="I34" s="22" t="inlineStr">
        <is>
          <t>No</t>
        </is>
      </c>
      <c r="J34" s="22" t="inlineStr">
        <is>
          <t>Da definire</t>
        </is>
      </c>
      <c r="K34" s="22" t="inlineStr">
        <is>
          <t>Valori iniziali derivati dal ruolo; richiede playtest</t>
        </is>
      </c>
    </row>
    <row r="35">
      <c r="A35" s="22" t="inlineStr">
        <is>
          <t>The Fey</t>
        </is>
      </c>
      <c r="B35" s="22" t="inlineStr">
        <is>
          <t>Candidate</t>
        </is>
      </c>
      <c r="C35" s="22" t="inlineStr">
        <is>
          <t>Controller</t>
        </is>
      </c>
      <c r="D35" s="22" t="inlineStr">
        <is>
          <t>Support</t>
        </is>
      </c>
      <c r="E35" s="22" t="inlineStr">
        <is>
          <t>Nature Zone Controller</t>
        </is>
      </c>
      <c r="F35" s="22" t="inlineStr">
        <is>
          <t>Long</t>
        </is>
      </c>
      <c r="G35" s="22" t="inlineStr">
        <is>
          <t>Toxic</t>
        </is>
      </c>
      <c r="H35" s="22" t="inlineStr">
        <is>
          <t>High</t>
        </is>
      </c>
      <c r="I35" s="22" t="inlineStr">
        <is>
          <t>No</t>
        </is>
      </c>
      <c r="J35" s="22" t="inlineStr">
        <is>
          <t>Da definire</t>
        </is>
      </c>
      <c r="K35" s="22" t="inlineStr">
        <is>
          <t>Valori iniziali derivati dal ruolo; richiede playtest</t>
        </is>
      </c>
    </row>
    <row r="36">
      <c r="A36" s="22" t="inlineStr">
        <is>
          <t>TwinBlast</t>
        </is>
      </c>
      <c r="B36" s="22" t="inlineStr">
        <is>
          <t>Candidate</t>
        </is>
      </c>
      <c r="C36" s="22" t="inlineStr">
        <is>
          <t>Marksman</t>
        </is>
      </c>
      <c r="D36" s="22" t="inlineStr">
        <is>
          <t>Striker</t>
        </is>
      </c>
      <c r="E36" s="22" t="inlineStr">
        <is>
          <t>Mobile Skirmish Gunner</t>
        </is>
      </c>
      <c r="F36" s="22" t="inlineStr">
        <is>
          <t>Long</t>
        </is>
      </c>
      <c r="G36" s="22" t="inlineStr">
        <is>
          <t>Kinetic</t>
        </is>
      </c>
      <c r="H36" s="22" t="inlineStr">
        <is>
          <t>Medium</t>
        </is>
      </c>
      <c r="I36" s="22" t="inlineStr">
        <is>
          <t>No</t>
        </is>
      </c>
      <c r="J36" s="22" t="inlineStr">
        <is>
          <t>Da definire</t>
        </is>
      </c>
      <c r="K36" s="22" t="inlineStr">
        <is>
          <t>Valori iniziali derivati dal ruolo; richiede playtest</t>
        </is>
      </c>
    </row>
    <row r="37">
      <c r="A37" s="22" t="inlineStr">
        <is>
          <t>Wraith</t>
        </is>
      </c>
      <c r="B37" s="22" t="inlineStr">
        <is>
          <t>Candidate</t>
        </is>
      </c>
      <c r="C37" s="22" t="inlineStr">
        <is>
          <t>Infiltrator</t>
        </is>
      </c>
      <c r="D37" s="22" t="inlineStr">
        <is>
          <t>Marksman</t>
        </is>
      </c>
      <c r="E37" s="22" t="inlineStr">
        <is>
          <t>Recon Sniper</t>
        </is>
      </c>
      <c r="F37" s="22" t="inlineStr">
        <is>
          <t>Long</t>
        </is>
      </c>
      <c r="G37" s="22" t="inlineStr">
        <is>
          <t>Energy</t>
        </is>
      </c>
      <c r="H37" s="22" t="inlineStr">
        <is>
          <t>High</t>
        </is>
      </c>
      <c r="I37" s="22" t="inlineStr">
        <is>
          <t>No</t>
        </is>
      </c>
      <c r="J37" s="22" t="inlineStr">
        <is>
          <t>Da definire</t>
        </is>
      </c>
      <c r="K37" s="22" t="inlineStr">
        <is>
          <t>Valori iniziali derivati dal ruolo; richiede playtest</t>
        </is>
      </c>
    </row>
    <row r="38">
      <c r="A38" s="22" t="inlineStr">
        <is>
          <t>Wukong</t>
        </is>
      </c>
      <c r="B38" s="22" t="inlineStr">
        <is>
          <t>Candidate</t>
        </is>
      </c>
      <c r="C38" s="22" t="inlineStr">
        <is>
          <t>Bruiser</t>
        </is>
      </c>
      <c r="D38" s="22" t="inlineStr">
        <is>
          <t>Infiltrator</t>
        </is>
      </c>
      <c r="E38" s="22" t="inlineStr">
        <is>
          <t>Clone Objective Raider</t>
        </is>
      </c>
      <c r="F38" s="22" t="inlineStr">
        <is>
          <t>Melee</t>
        </is>
      </c>
      <c r="G38" s="22" t="inlineStr">
        <is>
          <t>Kinetic</t>
        </is>
      </c>
      <c r="H38" s="22" t="inlineStr">
        <is>
          <t>High</t>
        </is>
      </c>
      <c r="I38" s="22" t="inlineStr">
        <is>
          <t>No</t>
        </is>
      </c>
      <c r="J38" s="22" t="inlineStr">
        <is>
          <t>Da definire</t>
        </is>
      </c>
      <c r="K38" s="22" t="inlineStr">
        <is>
          <t>Valori iniziali derivati dal ruolo; richiede playtest</t>
        </is>
      </c>
    </row>
    <row r="39">
      <c r="A39" s="22" t="inlineStr">
        <is>
          <t>Yin</t>
        </is>
      </c>
      <c r="B39" s="22" t="inlineStr">
        <is>
          <t>Candidate</t>
        </is>
      </c>
      <c r="C39" s="22" t="inlineStr">
        <is>
          <t>Striker</t>
        </is>
      </c>
      <c r="D39" s="22" t="inlineStr">
        <is>
          <t>Controller</t>
        </is>
      </c>
      <c r="E39" s="22" t="inlineStr">
        <is>
          <t>Projectile Counter Duelist</t>
        </is>
      </c>
      <c r="F39" s="22" t="inlineStr">
        <is>
          <t>Melee</t>
        </is>
      </c>
      <c r="G39" s="22" t="inlineStr">
        <is>
          <t>Kinetic</t>
        </is>
      </c>
      <c r="H39" s="22" t="inlineStr">
        <is>
          <t>High</t>
        </is>
      </c>
      <c r="I39" s="22" t="inlineStr">
        <is>
          <t>No</t>
        </is>
      </c>
      <c r="J39" s="22" t="inlineStr">
        <is>
          <t>Da definire</t>
        </is>
      </c>
      <c r="K39" s="22" t="inlineStr">
        <is>
          <t>Valori iniziali derivati dal ruolo; richiede playtest</t>
        </is>
      </c>
    </row>
    <row r="40">
      <c r="A40" s="22" t="inlineStr">
        <is>
          <t>Zinx</t>
        </is>
      </c>
      <c r="B40" s="22" t="inlineStr">
        <is>
          <t>Candidate</t>
        </is>
      </c>
      <c r="C40" s="22" t="inlineStr">
        <is>
          <t>Support</t>
        </is>
      </c>
      <c r="D40" s="22" t="inlineStr">
        <is>
          <t>Controller</t>
        </is>
      </c>
      <c r="E40" s="22" t="inlineStr">
        <is>
          <t>Sustain Disruptor</t>
        </is>
      </c>
      <c r="F40" s="22" t="inlineStr">
        <is>
          <t>Medium</t>
        </is>
      </c>
      <c r="G40" s="22" t="inlineStr">
        <is>
          <t>Energy</t>
        </is>
      </c>
      <c r="H40" s="22" t="inlineStr">
        <is>
          <t>High</t>
        </is>
      </c>
      <c r="I40" s="22" t="inlineStr">
        <is>
          <t>No</t>
        </is>
      </c>
      <c r="J40" s="22" t="inlineStr">
        <is>
          <t>Da definire</t>
        </is>
      </c>
      <c r="K40" s="22" t="inlineStr">
        <is>
          <t>Valori iniziali derivati dal ruolo; richiede playtest</t>
        </is>
      </c>
    </row>
    <row r="41">
      <c r="A41" s="22" t="inlineStr">
        <is>
          <t>Boris</t>
        </is>
      </c>
      <c r="B41" s="22" t="inlineStr">
        <is>
          <t>Asset-only</t>
        </is>
      </c>
      <c r="C41" s="22" t="inlineStr">
        <is>
          <t>Bruiser</t>
        </is>
      </c>
      <c r="D41" s="22" t="inlineStr">
        <is>
          <t>Striker</t>
        </is>
      </c>
      <c r="E41" s="22" t="inlineStr">
        <is>
          <t>Feral Pursuer Prototype</t>
        </is>
      </c>
      <c r="F41" s="22" t="inlineStr">
        <is>
          <t>Melee</t>
        </is>
      </c>
      <c r="G41" s="22" t="inlineStr">
        <is>
          <t>Kinetic</t>
        </is>
      </c>
      <c r="H41" s="22" t="inlineStr">
        <is>
          <t>Medium</t>
        </is>
      </c>
      <c r="I41" s="22" t="inlineStr">
        <is>
          <t>No</t>
        </is>
      </c>
      <c r="J41" s="22" t="inlineStr">
        <is>
          <t>Da definire</t>
        </is>
      </c>
      <c r="K41" s="22" t="inlineStr">
        <is>
          <t>Valori iniziali derivati dal ruolo; richiede playtest</t>
        </is>
      </c>
    </row>
    <row r="42">
      <c r="A42" s="22" t="inlineStr">
        <is>
          <t>Flux</t>
        </is>
      </c>
      <c r="B42" s="22" t="inlineStr">
        <is>
          <t>Vertical Slice</t>
        </is>
      </c>
      <c r="C42" s="22" t="inlineStr">
        <is>
          <t>Controller</t>
        </is>
      </c>
      <c r="D42" s="22" t="inlineStr">
        <is>
          <t>Striker</t>
        </is>
      </c>
      <c r="E42" s="22" t="inlineStr">
        <is>
          <t>Conduction Technician</t>
        </is>
      </c>
      <c r="F42" s="22" t="inlineStr">
        <is>
          <t>Medium</t>
        </is>
      </c>
      <c r="G42" s="22" t="inlineStr">
        <is>
          <t>Electric</t>
        </is>
      </c>
      <c r="H42" s="22" t="inlineStr">
        <is>
          <t>High</t>
        </is>
      </c>
      <c r="I42" s="22" t="inlineStr">
        <is>
          <t>Sì</t>
        </is>
      </c>
      <c r="J42" s="22" t="inlineStr">
        <is>
          <t>Carica Conduttiva</t>
        </is>
      </c>
      <c r="K42" s="22" t="inlineStr">
        <is>
          <t>Valori dal catalogo RT_HeroCatalog_v0.1.md (canone)</t>
        </is>
      </c>
    </row>
    <row r="43">
      <c r="A43" s="22" t="inlineStr">
        <is>
          <t>Riva</t>
        </is>
      </c>
      <c r="B43" s="22" t="inlineStr">
        <is>
          <t>Vertical Slice</t>
        </is>
      </c>
      <c r="C43" s="22" t="inlineStr">
        <is>
          <t>Support</t>
        </is>
      </c>
      <c r="D43" s="22" t="inlineStr">
        <is>
          <t>Controller</t>
        </is>
      </c>
      <c r="E43" s="22" t="inlineStr">
        <is>
          <t>Water Field Shaper</t>
        </is>
      </c>
      <c r="F43" s="22" t="inlineStr">
        <is>
          <t>Medium</t>
        </is>
      </c>
      <c r="G43" s="22" t="inlineStr">
        <is>
          <t>Kinetic</t>
        </is>
      </c>
      <c r="H43" s="22" t="inlineStr">
        <is>
          <t>Medium</t>
        </is>
      </c>
      <c r="I43" s="22" t="inlineStr">
        <is>
          <t>Sì</t>
        </is>
      </c>
      <c r="J43" s="22" t="inlineStr">
        <is>
          <t>Riserva Idrica</t>
        </is>
      </c>
      <c r="K43" s="22" t="inlineStr">
        <is>
          <t>Valori dal catalogo RT_HeroCatalog_v0.1.md (canone)</t>
        </is>
      </c>
    </row>
    <row r="44">
      <c r="A44" s="22" t="inlineStr">
        <is>
          <t>Bastion</t>
        </is>
      </c>
      <c r="B44" s="22" t="inlineStr">
        <is>
          <t>Vertical Slice</t>
        </is>
      </c>
      <c r="C44" s="22" t="inlineStr">
        <is>
          <t>Guardian</t>
        </is>
      </c>
      <c r="D44" s="22" t="inlineStr">
        <is>
          <t>Controller</t>
        </is>
      </c>
      <c r="E44" s="22" t="inlineStr">
        <is>
          <t>Field Architect</t>
        </is>
      </c>
      <c r="F44" s="22" t="inlineStr">
        <is>
          <t>Short</t>
        </is>
      </c>
      <c r="G44" s="22" t="inlineStr">
        <is>
          <t>Kinetic</t>
        </is>
      </c>
      <c r="H44" s="22" t="inlineStr">
        <is>
          <t>Medium</t>
        </is>
      </c>
      <c r="I44" s="22" t="inlineStr">
        <is>
          <t>Sì</t>
        </is>
      </c>
      <c r="J44" s="22" t="inlineStr">
        <is>
          <t>Integrità Strutturale</t>
        </is>
      </c>
      <c r="K44" s="22" t="inlineStr">
        <is>
          <t>Valori dal catalogo RT_HeroCatalog_v0.1.md (canone)</t>
        </is>
      </c>
    </row>
    <row r="45">
      <c r="A45" s="22" t="inlineStr">
        <is>
          <t>Vektor</t>
        </is>
      </c>
      <c r="B45" s="22" t="inlineStr">
        <is>
          <t>Vertical Slice</t>
        </is>
      </c>
      <c r="C45" s="22" t="inlineStr">
        <is>
          <t>Striker</t>
        </is>
      </c>
      <c r="D45" s="22" t="inlineStr">
        <is>
          <t>Marksman</t>
        </is>
      </c>
      <c r="E45" s="22" t="inlineStr">
        <is>
          <t>Predictive Duelist</t>
        </is>
      </c>
      <c r="F45" s="22" t="inlineStr">
        <is>
          <t>Medium</t>
        </is>
      </c>
      <c r="G45" s="22" t="inlineStr">
        <is>
          <t>Kinetic</t>
        </is>
      </c>
      <c r="H45" s="22" t="inlineStr">
        <is>
          <t>Medium</t>
        </is>
      </c>
      <c r="I45" s="22" t="inlineStr">
        <is>
          <t>Sì</t>
        </is>
      </c>
      <c r="J45" s="22" t="inlineStr">
        <is>
          <t>Slancio</t>
        </is>
      </c>
      <c r="K45" s="22" t="inlineStr">
        <is>
          <t>Valori dal catalogo RT_HeroCatalog_v0.1.md (canone)</t>
        </is>
      </c>
    </row>
  </sheetData>
  <mergeCells count="1">
    <mergeCell ref="A1:K1"/>
  </mergeCells>
  <conditionalFormatting sqref="A4:K41">
    <cfRule type="expression" priority="1" dxfId="3">
      <formula>$B4="Vertical Slice"</formula>
    </cfRule>
  </conditionalFormatting>
  <dataValidations count="3">
    <dataValidation sqref="B4:B41" showDropDown="0" showInputMessage="0" showErrorMessage="0" allowBlank="0" type="list">
      <formula1>"Vertical Slice,Candidate,Asset-only"</formula1>
    </dataValidation>
    <dataValidation sqref="C4:C41" showDropDown="0" showInputMessage="0" showErrorMessage="0" allowBlank="0" type="list">
      <formula1>"Guardian,Controller,Striker,Marksman,Support,Infiltrator,Bruiser"</formula1>
    </dataValidation>
    <dataValidation sqref="D4:D41" showDropDown="0" showInputMessage="0" showErrorMessage="0" allowBlank="0" type="list">
      <formula1>"Guardian,Controller,Striker,Marksman,Support,Infiltrator,Bruiser,None"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19" customWidth="1" style="58" min="1" max="1"/>
    <col width="16" customWidth="1" style="58" min="2" max="2"/>
    <col width="10" customWidth="1" style="58" min="3" max="3"/>
    <col width="11" customWidth="1" style="58" min="4" max="4"/>
    <col width="12" customWidth="1" style="58" min="5" max="5"/>
    <col width="13" customWidth="1" style="58" min="6" max="6"/>
    <col width="11" customWidth="1" style="58" min="7" max="7"/>
    <col width="13" customWidth="1" style="58" min="8" max="8"/>
    <col width="12" customWidth="1" style="58" min="9" max="9"/>
    <col width="13" customWidth="1" style="58" min="10" max="10"/>
    <col width="12" customWidth="1" style="58" min="11" max="11"/>
    <col width="13" customWidth="1" style="58" min="12" max="12"/>
    <col width="13" customWidth="1" style="58" min="13" max="13"/>
    <col width="12" customWidth="1" style="58" min="14" max="14"/>
    <col width="12" customWidth="1" style="58" min="15" max="15"/>
  </cols>
  <sheetData>
    <row r="1" ht="30" customHeight="1" s="58">
      <c r="A1" s="9" t="inlineStr">
        <is>
          <t>Statistiche base — baseline per ruolo e specializzazione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 ht="34" customHeight="1" s="58">
      <c r="A3" s="14" t="inlineStr">
        <is>
          <t>Hero</t>
        </is>
      </c>
      <c r="B3" s="14" t="inlineStr">
        <is>
          <t>Ruolo</t>
        </is>
      </c>
      <c r="C3" s="14" t="inlineStr">
        <is>
          <t>HP</t>
        </is>
      </c>
      <c r="D3" s="14" t="inlineStr">
        <is>
          <t>Armatura</t>
        </is>
      </c>
      <c r="E3" s="14" t="inlineStr">
        <is>
          <t>Resistenza</t>
        </is>
      </c>
      <c r="F3" s="14" t="inlineStr">
        <is>
          <t>Movimento_Base</t>
        </is>
      </c>
      <c r="G3" s="14" t="inlineStr">
        <is>
          <t>Iniziativa</t>
        </is>
      </c>
      <c r="H3" s="14" t="inlineStr">
        <is>
          <t>Precisione_1_10</t>
        </is>
      </c>
      <c r="I3" s="14" t="inlineStr">
        <is>
          <t>Potenza_1_10</t>
        </is>
      </c>
      <c r="J3" s="14" t="inlineStr">
        <is>
          <t>Controllo_1_10</t>
        </is>
      </c>
      <c r="K3" s="14" t="inlineStr">
        <is>
          <t>Supporto_1_10</t>
        </is>
      </c>
      <c r="L3" s="14" t="inlineStr">
        <is>
          <t>Durabilità_1_10</t>
        </is>
      </c>
      <c r="M3" s="14" t="inlineStr">
        <is>
          <t>Indice_Combat</t>
        </is>
      </c>
      <c r="N3" s="14" t="inlineStr">
        <is>
          <t>Budget_Punti</t>
        </is>
      </c>
      <c r="O3" s="14" t="inlineStr">
        <is>
          <t>Delta_Budget</t>
        </is>
      </c>
    </row>
    <row r="4">
      <c r="A4" s="22" t="inlineStr">
        <is>
          <t>Aurora</t>
        </is>
      </c>
      <c r="B4" s="22" t="inlineStr">
        <is>
          <t>Controller</t>
        </is>
      </c>
      <c r="C4" s="22" t="n">
        <v>780</v>
      </c>
      <c r="D4" s="22" t="n">
        <v>18</v>
      </c>
      <c r="E4" s="22" t="n">
        <v>24</v>
      </c>
      <c r="F4" s="22" t="n">
        <v>6</v>
      </c>
      <c r="G4" s="22" t="n">
        <v>6</v>
      </c>
      <c r="H4" s="22" t="n">
        <v>7</v>
      </c>
      <c r="I4" s="22" t="n">
        <v>6</v>
      </c>
      <c r="J4" s="22" t="n">
        <v>10</v>
      </c>
      <c r="K4" s="22" t="n">
        <v>6</v>
      </c>
      <c r="L4" s="22" t="n">
        <v>5</v>
      </c>
      <c r="M4" s="22" t="n">
        <v>53</v>
      </c>
      <c r="N4" s="22" t="n">
        <v>62</v>
      </c>
      <c r="O4" s="22" t="n">
        <v>-9</v>
      </c>
    </row>
    <row r="5">
      <c r="A5" s="22" t="inlineStr">
        <is>
          <t>Countess</t>
        </is>
      </c>
      <c r="B5" s="22" t="inlineStr">
        <is>
          <t>Infiltrator</t>
        </is>
      </c>
      <c r="C5" s="22" t="n">
        <v>650</v>
      </c>
      <c r="D5" s="22" t="n">
        <v>12</v>
      </c>
      <c r="E5" s="22" t="n">
        <v>16</v>
      </c>
      <c r="F5" s="22" t="n">
        <v>7</v>
      </c>
      <c r="G5" s="22" t="n">
        <v>10</v>
      </c>
      <c r="H5" s="22" t="n">
        <v>8</v>
      </c>
      <c r="I5" s="22" t="n">
        <v>8</v>
      </c>
      <c r="J5" s="22" t="n">
        <v>5</v>
      </c>
      <c r="K5" s="22" t="n">
        <v>2</v>
      </c>
      <c r="L5" s="22" t="n">
        <v>2</v>
      </c>
      <c r="M5" s="22" t="n">
        <v>45.6</v>
      </c>
      <c r="N5" s="22" t="n">
        <v>60</v>
      </c>
      <c r="O5" s="22" t="n">
        <v>-14.4</v>
      </c>
    </row>
    <row r="6">
      <c r="A6" s="22" t="inlineStr">
        <is>
          <t>Crunch</t>
        </is>
      </c>
      <c r="B6" s="22" t="inlineStr">
        <is>
          <t>Bruiser</t>
        </is>
      </c>
      <c r="C6" s="22" t="n">
        <v>900</v>
      </c>
      <c r="D6" s="22" t="n">
        <v>26</v>
      </c>
      <c r="E6" s="22" t="n">
        <v>20</v>
      </c>
      <c r="F6" s="22" t="n">
        <v>5</v>
      </c>
      <c r="G6" s="22" t="n">
        <v>6</v>
      </c>
      <c r="H6" s="22" t="n">
        <v>7</v>
      </c>
      <c r="I6" s="22" t="n">
        <v>8</v>
      </c>
      <c r="J6" s="22" t="n">
        <v>6</v>
      </c>
      <c r="K6" s="22" t="n">
        <v>3</v>
      </c>
      <c r="L6" s="22" t="n">
        <v>7</v>
      </c>
      <c r="M6" s="22" t="n">
        <v>52</v>
      </c>
      <c r="N6" s="22" t="n">
        <v>60</v>
      </c>
      <c r="O6" s="22" t="n">
        <v>-8</v>
      </c>
    </row>
    <row r="7">
      <c r="A7" s="22" t="inlineStr">
        <is>
          <t>Dekker</t>
        </is>
      </c>
      <c r="B7" s="22" t="inlineStr">
        <is>
          <t>Support</t>
        </is>
      </c>
      <c r="C7" s="22" t="n">
        <v>790</v>
      </c>
      <c r="D7" s="22" t="n">
        <v>18</v>
      </c>
      <c r="E7" s="22" t="n">
        <v>28</v>
      </c>
      <c r="F7" s="22" t="n">
        <v>5</v>
      </c>
      <c r="G7" s="22" t="n">
        <v>5</v>
      </c>
      <c r="H7" s="22" t="n">
        <v>6</v>
      </c>
      <c r="I7" s="22" t="n">
        <v>4</v>
      </c>
      <c r="J7" s="22" t="n">
        <v>9</v>
      </c>
      <c r="K7" s="22" t="n">
        <v>8</v>
      </c>
      <c r="L7" s="22" t="n">
        <v>5</v>
      </c>
      <c r="M7" s="22" t="n">
        <v>49.6</v>
      </c>
      <c r="N7" s="22" t="n">
        <v>60</v>
      </c>
      <c r="O7" s="22" t="n">
        <v>-10.4</v>
      </c>
    </row>
    <row r="8">
      <c r="A8" s="22" t="inlineStr">
        <is>
          <t>Drongo</t>
        </is>
      </c>
      <c r="B8" s="22" t="inlineStr">
        <is>
          <t>Marksman</t>
        </is>
      </c>
      <c r="C8" s="22" t="n">
        <v>700</v>
      </c>
      <c r="D8" s="22" t="n">
        <v>13</v>
      </c>
      <c r="E8" s="22" t="n">
        <v>18</v>
      </c>
      <c r="F8" s="22" t="n">
        <v>5</v>
      </c>
      <c r="G8" s="22" t="n">
        <v>7</v>
      </c>
      <c r="H8" s="22" t="n">
        <v>10</v>
      </c>
      <c r="I8" s="22" t="n">
        <v>8</v>
      </c>
      <c r="J8" s="22" t="n">
        <v>5</v>
      </c>
      <c r="K8" s="22" t="n">
        <v>3</v>
      </c>
      <c r="L8" s="22" t="n">
        <v>3</v>
      </c>
      <c r="M8" s="22" t="n">
        <v>46.7</v>
      </c>
      <c r="N8" s="22" t="n">
        <v>60</v>
      </c>
      <c r="O8" s="22" t="n">
        <v>-13.3</v>
      </c>
    </row>
    <row r="9">
      <c r="A9" s="22" t="inlineStr">
        <is>
          <t>Feng Mao</t>
        </is>
      </c>
      <c r="B9" s="22" t="inlineStr">
        <is>
          <t>Bruiser</t>
        </is>
      </c>
      <c r="C9" s="22" t="n">
        <v>900</v>
      </c>
      <c r="D9" s="22" t="n">
        <v>26</v>
      </c>
      <c r="E9" s="22" t="n">
        <v>20</v>
      </c>
      <c r="F9" s="22" t="n">
        <v>5</v>
      </c>
      <c r="G9" s="22" t="n">
        <v>6</v>
      </c>
      <c r="H9" s="22" t="n">
        <v>7</v>
      </c>
      <c r="I9" s="22" t="n">
        <v>8</v>
      </c>
      <c r="J9" s="22" t="n">
        <v>6</v>
      </c>
      <c r="K9" s="22" t="n">
        <v>3</v>
      </c>
      <c r="L9" s="22" t="n">
        <v>7</v>
      </c>
      <c r="M9" s="22" t="n">
        <v>52</v>
      </c>
      <c r="N9" s="22" t="n">
        <v>60</v>
      </c>
      <c r="O9" s="22" t="n">
        <v>-8</v>
      </c>
    </row>
    <row r="10">
      <c r="A10" s="22" t="inlineStr">
        <is>
          <t>Gadget</t>
        </is>
      </c>
      <c r="B10" s="22" t="inlineStr">
        <is>
          <t>Controller</t>
        </is>
      </c>
      <c r="C10" s="22" t="n">
        <v>780</v>
      </c>
      <c r="D10" s="22" t="n">
        <v>18</v>
      </c>
      <c r="E10" s="22" t="n">
        <v>24</v>
      </c>
      <c r="F10" s="22" t="n">
        <v>5</v>
      </c>
      <c r="G10" s="22" t="n">
        <v>6</v>
      </c>
      <c r="H10" s="22" t="n">
        <v>7</v>
      </c>
      <c r="I10" s="22" t="n">
        <v>6</v>
      </c>
      <c r="J10" s="22" t="n">
        <v>10</v>
      </c>
      <c r="K10" s="22" t="n">
        <v>6</v>
      </c>
      <c r="L10" s="22" t="n">
        <v>5</v>
      </c>
      <c r="M10" s="22" t="n">
        <v>52.2</v>
      </c>
      <c r="N10" s="22" t="n">
        <v>60</v>
      </c>
      <c r="O10" s="22" t="n">
        <v>-7.8</v>
      </c>
    </row>
    <row r="11">
      <c r="A11" s="22" t="inlineStr">
        <is>
          <t>Gideon</t>
        </is>
      </c>
      <c r="B11" s="22" t="inlineStr">
        <is>
          <t>Controller</t>
        </is>
      </c>
      <c r="C11" s="22" t="n">
        <v>780</v>
      </c>
      <c r="D11" s="22" t="n">
        <v>18</v>
      </c>
      <c r="E11" s="22" t="n">
        <v>24</v>
      </c>
      <c r="F11" s="22" t="n">
        <v>5</v>
      </c>
      <c r="G11" s="22" t="n">
        <v>6</v>
      </c>
      <c r="H11" s="22" t="n">
        <v>7</v>
      </c>
      <c r="I11" s="22" t="n">
        <v>6</v>
      </c>
      <c r="J11" s="22" t="n">
        <v>10</v>
      </c>
      <c r="K11" s="22" t="n">
        <v>6</v>
      </c>
      <c r="L11" s="22" t="n">
        <v>5</v>
      </c>
      <c r="M11" s="22" t="n">
        <v>52.2</v>
      </c>
      <c r="N11" s="22" t="n">
        <v>60</v>
      </c>
      <c r="O11" s="22" t="n">
        <v>-7.8</v>
      </c>
    </row>
    <row r="12">
      <c r="A12" s="22" t="inlineStr">
        <is>
          <t>Greystone</t>
        </is>
      </c>
      <c r="B12" s="22" t="inlineStr">
        <is>
          <t>Guardian</t>
        </is>
      </c>
      <c r="C12" s="22" t="n">
        <v>1050</v>
      </c>
      <c r="D12" s="22" t="n">
        <v>34</v>
      </c>
      <c r="E12" s="22" t="n">
        <v>28</v>
      </c>
      <c r="F12" s="22" t="n">
        <v>4</v>
      </c>
      <c r="G12" s="22" t="n">
        <v>4</v>
      </c>
      <c r="H12" s="22" t="n">
        <v>6</v>
      </c>
      <c r="I12" s="22" t="n">
        <v>5</v>
      </c>
      <c r="J12" s="22" t="n">
        <v>8</v>
      </c>
      <c r="K12" s="22" t="n">
        <v>6</v>
      </c>
      <c r="L12" s="22" t="n">
        <v>10</v>
      </c>
      <c r="M12" s="22" t="n">
        <v>56.3</v>
      </c>
      <c r="N12" s="22" t="n">
        <v>60</v>
      </c>
      <c r="O12" s="22" t="n">
        <v>-3.7</v>
      </c>
    </row>
    <row r="13">
      <c r="A13" s="22" t="inlineStr">
        <is>
          <t>GRIM.exe</t>
        </is>
      </c>
      <c r="B13" s="22" t="inlineStr">
        <is>
          <t>Marksman</t>
        </is>
      </c>
      <c r="C13" s="22" t="n">
        <v>700</v>
      </c>
      <c r="D13" s="22" t="n">
        <v>13</v>
      </c>
      <c r="E13" s="22" t="n">
        <v>18</v>
      </c>
      <c r="F13" s="22" t="n">
        <v>5</v>
      </c>
      <c r="G13" s="22" t="n">
        <v>7</v>
      </c>
      <c r="H13" s="22" t="n">
        <v>10</v>
      </c>
      <c r="I13" s="22" t="n">
        <v>8</v>
      </c>
      <c r="J13" s="22" t="n">
        <v>5</v>
      </c>
      <c r="K13" s="22" t="n">
        <v>3</v>
      </c>
      <c r="L13" s="22" t="n">
        <v>3</v>
      </c>
      <c r="M13" s="22" t="n">
        <v>46.7</v>
      </c>
      <c r="N13" s="22" t="n">
        <v>60</v>
      </c>
      <c r="O13" s="22" t="n">
        <v>-13.3</v>
      </c>
    </row>
    <row r="14">
      <c r="A14" s="22" t="inlineStr">
        <is>
          <t>Grux</t>
        </is>
      </c>
      <c r="B14" s="22" t="inlineStr">
        <is>
          <t>Bruiser</t>
        </is>
      </c>
      <c r="C14" s="22" t="n">
        <v>900</v>
      </c>
      <c r="D14" s="22" t="n">
        <v>26</v>
      </c>
      <c r="E14" s="22" t="n">
        <v>20</v>
      </c>
      <c r="F14" s="22" t="n">
        <v>5</v>
      </c>
      <c r="G14" s="22" t="n">
        <v>6</v>
      </c>
      <c r="H14" s="22" t="n">
        <v>7</v>
      </c>
      <c r="I14" s="22" t="n">
        <v>8</v>
      </c>
      <c r="J14" s="22" t="n">
        <v>6</v>
      </c>
      <c r="K14" s="22" t="n">
        <v>3</v>
      </c>
      <c r="L14" s="22" t="n">
        <v>7</v>
      </c>
      <c r="M14" s="22" t="n">
        <v>52</v>
      </c>
      <c r="N14" s="22" t="n">
        <v>60</v>
      </c>
      <c r="O14" s="22" t="n">
        <v>-8</v>
      </c>
    </row>
    <row r="15">
      <c r="A15" s="22" t="inlineStr">
        <is>
          <t>Howitzer</t>
        </is>
      </c>
      <c r="B15" s="22" t="inlineStr">
        <is>
          <t>Controller</t>
        </is>
      </c>
      <c r="C15" s="22" t="n">
        <v>780</v>
      </c>
      <c r="D15" s="22" t="n">
        <v>18</v>
      </c>
      <c r="E15" s="22" t="n">
        <v>24</v>
      </c>
      <c r="F15" s="22" t="n">
        <v>5</v>
      </c>
      <c r="G15" s="22" t="n">
        <v>6</v>
      </c>
      <c r="H15" s="22" t="n">
        <v>7</v>
      </c>
      <c r="I15" s="22" t="n">
        <v>6</v>
      </c>
      <c r="J15" s="22" t="n">
        <v>10</v>
      </c>
      <c r="K15" s="22" t="n">
        <v>6</v>
      </c>
      <c r="L15" s="22" t="n">
        <v>5</v>
      </c>
      <c r="M15" s="22" t="n">
        <v>52.2</v>
      </c>
      <c r="N15" s="22" t="n">
        <v>60</v>
      </c>
      <c r="O15" s="22" t="n">
        <v>-7.8</v>
      </c>
    </row>
    <row r="16">
      <c r="A16" s="22" t="inlineStr">
        <is>
          <t>Iggy &amp; Scorch</t>
        </is>
      </c>
      <c r="B16" s="22" t="inlineStr">
        <is>
          <t>Controller</t>
        </is>
      </c>
      <c r="C16" s="22" t="n">
        <v>780</v>
      </c>
      <c r="D16" s="22" t="n">
        <v>18</v>
      </c>
      <c r="E16" s="22" t="n">
        <v>24</v>
      </c>
      <c r="F16" s="22" t="n">
        <v>5</v>
      </c>
      <c r="G16" s="22" t="n">
        <v>6</v>
      </c>
      <c r="H16" s="22" t="n">
        <v>7</v>
      </c>
      <c r="I16" s="22" t="n">
        <v>6</v>
      </c>
      <c r="J16" s="22" t="n">
        <v>10</v>
      </c>
      <c r="K16" s="22" t="n">
        <v>6</v>
      </c>
      <c r="L16" s="22" t="n">
        <v>5</v>
      </c>
      <c r="M16" s="22" t="n">
        <v>52.2</v>
      </c>
      <c r="N16" s="22" t="n">
        <v>60</v>
      </c>
      <c r="O16" s="22" t="n">
        <v>-7.8</v>
      </c>
    </row>
    <row r="17">
      <c r="A17" s="22" t="inlineStr">
        <is>
          <t>Kallari</t>
        </is>
      </c>
      <c r="B17" s="22" t="inlineStr">
        <is>
          <t>Infiltrator</t>
        </is>
      </c>
      <c r="C17" s="22" t="n">
        <v>620</v>
      </c>
      <c r="D17" s="22" t="n">
        <v>12</v>
      </c>
      <c r="E17" s="22" t="n">
        <v>16</v>
      </c>
      <c r="F17" s="22" t="n">
        <v>8</v>
      </c>
      <c r="G17" s="22" t="n">
        <v>10</v>
      </c>
      <c r="H17" s="22" t="n">
        <v>8</v>
      </c>
      <c r="I17" s="22" t="n">
        <v>8</v>
      </c>
      <c r="J17" s="22" t="n">
        <v>5</v>
      </c>
      <c r="K17" s="22" t="n">
        <v>2</v>
      </c>
      <c r="L17" s="22" t="n">
        <v>2</v>
      </c>
      <c r="M17" s="22" t="n">
        <v>46.1</v>
      </c>
      <c r="N17" s="22" t="n">
        <v>60</v>
      </c>
      <c r="O17" s="22" t="n">
        <v>-13.9</v>
      </c>
    </row>
    <row r="18">
      <c r="A18" s="22" t="inlineStr">
        <is>
          <t>Khaimera</t>
        </is>
      </c>
      <c r="B18" s="22" t="inlineStr">
        <is>
          <t>Bruiser</t>
        </is>
      </c>
      <c r="C18" s="22" t="n">
        <v>900</v>
      </c>
      <c r="D18" s="22" t="n">
        <v>26</v>
      </c>
      <c r="E18" s="22" t="n">
        <v>20</v>
      </c>
      <c r="F18" s="22" t="n">
        <v>5</v>
      </c>
      <c r="G18" s="22" t="n">
        <v>6</v>
      </c>
      <c r="H18" s="22" t="n">
        <v>7</v>
      </c>
      <c r="I18" s="22" t="n">
        <v>8</v>
      </c>
      <c r="J18" s="22" t="n">
        <v>6</v>
      </c>
      <c r="K18" s="22" t="n">
        <v>3</v>
      </c>
      <c r="L18" s="22" t="n">
        <v>7</v>
      </c>
      <c r="M18" s="22" t="n">
        <v>52</v>
      </c>
      <c r="N18" s="22" t="n">
        <v>60</v>
      </c>
      <c r="O18" s="22" t="n">
        <v>-8</v>
      </c>
    </row>
    <row r="19">
      <c r="A19" s="22" t="inlineStr">
        <is>
          <t>Kwang</t>
        </is>
      </c>
      <c r="B19" s="22" t="inlineStr">
        <is>
          <t>Bruiser</t>
        </is>
      </c>
      <c r="C19" s="22" t="n">
        <v>900</v>
      </c>
      <c r="D19" s="22" t="n">
        <v>26</v>
      </c>
      <c r="E19" s="22" t="n">
        <v>20</v>
      </c>
      <c r="F19" s="22" t="n">
        <v>6</v>
      </c>
      <c r="G19" s="22" t="n">
        <v>6</v>
      </c>
      <c r="H19" s="22" t="n">
        <v>7</v>
      </c>
      <c r="I19" s="22" t="n">
        <v>8</v>
      </c>
      <c r="J19" s="22" t="n">
        <v>8</v>
      </c>
      <c r="K19" s="22" t="n">
        <v>3</v>
      </c>
      <c r="L19" s="22" t="n">
        <v>7</v>
      </c>
      <c r="M19" s="22" t="n">
        <v>54.8</v>
      </c>
      <c r="N19" s="22" t="n">
        <v>62</v>
      </c>
      <c r="O19" s="22" t="n">
        <v>-7.2</v>
      </c>
    </row>
    <row r="20">
      <c r="A20" s="22" t="inlineStr">
        <is>
          <t>Lt. Belica</t>
        </is>
      </c>
      <c r="B20" s="22" t="inlineStr">
        <is>
          <t>Controller</t>
        </is>
      </c>
      <c r="C20" s="22" t="n">
        <v>780</v>
      </c>
      <c r="D20" s="22" t="n">
        <v>18</v>
      </c>
      <c r="E20" s="22" t="n">
        <v>24</v>
      </c>
      <c r="F20" s="22" t="n">
        <v>5</v>
      </c>
      <c r="G20" s="22" t="n">
        <v>6</v>
      </c>
      <c r="H20" s="22" t="n">
        <v>7</v>
      </c>
      <c r="I20" s="22" t="n">
        <v>6</v>
      </c>
      <c r="J20" s="22" t="n">
        <v>10</v>
      </c>
      <c r="K20" s="22" t="n">
        <v>6</v>
      </c>
      <c r="L20" s="22" t="n">
        <v>5</v>
      </c>
      <c r="M20" s="22" t="n">
        <v>52.2</v>
      </c>
      <c r="N20" s="22" t="n">
        <v>60</v>
      </c>
      <c r="O20" s="22" t="n">
        <v>-7.8</v>
      </c>
    </row>
    <row r="21">
      <c r="A21" s="22" t="inlineStr">
        <is>
          <t>Morigesh</t>
        </is>
      </c>
      <c r="B21" s="22" t="inlineStr">
        <is>
          <t>Controller</t>
        </is>
      </c>
      <c r="C21" s="22" t="n">
        <v>780</v>
      </c>
      <c r="D21" s="22" t="n">
        <v>18</v>
      </c>
      <c r="E21" s="22" t="n">
        <v>24</v>
      </c>
      <c r="F21" s="22" t="n">
        <v>5</v>
      </c>
      <c r="G21" s="22" t="n">
        <v>6</v>
      </c>
      <c r="H21" s="22" t="n">
        <v>7</v>
      </c>
      <c r="I21" s="22" t="n">
        <v>6</v>
      </c>
      <c r="J21" s="22" t="n">
        <v>10</v>
      </c>
      <c r="K21" s="22" t="n">
        <v>6</v>
      </c>
      <c r="L21" s="22" t="n">
        <v>5</v>
      </c>
      <c r="M21" s="22" t="n">
        <v>52.2</v>
      </c>
      <c r="N21" s="22" t="n">
        <v>60</v>
      </c>
      <c r="O21" s="22" t="n">
        <v>-7.8</v>
      </c>
    </row>
    <row r="22">
      <c r="A22" s="22" t="inlineStr">
        <is>
          <t>Murdock</t>
        </is>
      </c>
      <c r="B22" s="22" t="inlineStr">
        <is>
          <t>Marksman</t>
        </is>
      </c>
      <c r="C22" s="22" t="n">
        <v>700</v>
      </c>
      <c r="D22" s="22" t="n">
        <v>13</v>
      </c>
      <c r="E22" s="22" t="n">
        <v>18</v>
      </c>
      <c r="F22" s="22" t="n">
        <v>5</v>
      </c>
      <c r="G22" s="22" t="n">
        <v>7</v>
      </c>
      <c r="H22" s="22" t="n">
        <v>10</v>
      </c>
      <c r="I22" s="22" t="n">
        <v>8</v>
      </c>
      <c r="J22" s="22" t="n">
        <v>5</v>
      </c>
      <c r="K22" s="22" t="n">
        <v>3</v>
      </c>
      <c r="L22" s="22" t="n">
        <v>3</v>
      </c>
      <c r="M22" s="22" t="n">
        <v>46.7</v>
      </c>
      <c r="N22" s="22" t="n">
        <v>62</v>
      </c>
      <c r="O22" s="22" t="n">
        <v>-15.3</v>
      </c>
    </row>
    <row r="23">
      <c r="A23" s="22" t="inlineStr">
        <is>
          <t>Muriel</t>
        </is>
      </c>
      <c r="B23" s="22" t="inlineStr">
        <is>
          <t>Support</t>
        </is>
      </c>
      <c r="C23" s="22" t="n">
        <v>790</v>
      </c>
      <c r="D23" s="22" t="n">
        <v>18</v>
      </c>
      <c r="E23" s="22" t="n">
        <v>28</v>
      </c>
      <c r="F23" s="22" t="n">
        <v>5</v>
      </c>
      <c r="G23" s="22" t="n">
        <v>5</v>
      </c>
      <c r="H23" s="22" t="n">
        <v>6</v>
      </c>
      <c r="I23" s="22" t="n">
        <v>4</v>
      </c>
      <c r="J23" s="22" t="n">
        <v>7</v>
      </c>
      <c r="K23" s="22" t="n">
        <v>10</v>
      </c>
      <c r="L23" s="22" t="n">
        <v>5</v>
      </c>
      <c r="M23" s="22" t="n">
        <v>49</v>
      </c>
      <c r="N23" s="22" t="n">
        <v>60</v>
      </c>
      <c r="O23" s="22" t="n">
        <v>-11</v>
      </c>
    </row>
    <row r="24">
      <c r="A24" s="22" t="inlineStr">
        <is>
          <t>Narbash</t>
        </is>
      </c>
      <c r="B24" s="22" t="inlineStr">
        <is>
          <t>Support</t>
        </is>
      </c>
      <c r="C24" s="22" t="n">
        <v>790</v>
      </c>
      <c r="D24" s="22" t="n">
        <v>18</v>
      </c>
      <c r="E24" s="22" t="n">
        <v>28</v>
      </c>
      <c r="F24" s="22" t="n">
        <v>5</v>
      </c>
      <c r="G24" s="22" t="n">
        <v>5</v>
      </c>
      <c r="H24" s="22" t="n">
        <v>6</v>
      </c>
      <c r="I24" s="22" t="n">
        <v>4</v>
      </c>
      <c r="J24" s="22" t="n">
        <v>7</v>
      </c>
      <c r="K24" s="22" t="n">
        <v>10</v>
      </c>
      <c r="L24" s="22" t="n">
        <v>5</v>
      </c>
      <c r="M24" s="22" t="n">
        <v>49</v>
      </c>
      <c r="N24" s="22" t="n">
        <v>60</v>
      </c>
      <c r="O24" s="22" t="n">
        <v>-11</v>
      </c>
    </row>
    <row r="25">
      <c r="A25" s="22" t="inlineStr">
        <is>
          <t>Phase</t>
        </is>
      </c>
      <c r="B25" s="22" t="inlineStr">
        <is>
          <t>Support</t>
        </is>
      </c>
      <c r="C25" s="22" t="n">
        <v>790</v>
      </c>
      <c r="D25" s="22" t="n">
        <v>18</v>
      </c>
      <c r="E25" s="22" t="n">
        <v>28</v>
      </c>
      <c r="F25" s="22" t="n">
        <v>5</v>
      </c>
      <c r="G25" s="22" t="n">
        <v>5</v>
      </c>
      <c r="H25" s="22" t="n">
        <v>6</v>
      </c>
      <c r="I25" s="22" t="n">
        <v>4</v>
      </c>
      <c r="J25" s="22" t="n">
        <v>7</v>
      </c>
      <c r="K25" s="22" t="n">
        <v>10</v>
      </c>
      <c r="L25" s="22" t="n">
        <v>5</v>
      </c>
      <c r="M25" s="22" t="n">
        <v>49</v>
      </c>
      <c r="N25" s="22" t="n">
        <v>60</v>
      </c>
      <c r="O25" s="22" t="n">
        <v>-11</v>
      </c>
    </row>
    <row r="26">
      <c r="A26" s="22" t="inlineStr">
        <is>
          <t>Rampage</t>
        </is>
      </c>
      <c r="B26" s="22" t="inlineStr">
        <is>
          <t>Guardian</t>
        </is>
      </c>
      <c r="C26" s="22" t="n">
        <v>1200</v>
      </c>
      <c r="D26" s="22" t="n">
        <v>34</v>
      </c>
      <c r="E26" s="22" t="n">
        <v>28</v>
      </c>
      <c r="F26" s="22" t="n">
        <v>4</v>
      </c>
      <c r="G26" s="22" t="n">
        <v>4</v>
      </c>
      <c r="H26" s="22" t="n">
        <v>6</v>
      </c>
      <c r="I26" s="22" t="n">
        <v>5</v>
      </c>
      <c r="J26" s="22" t="n">
        <v>8</v>
      </c>
      <c r="K26" s="22" t="n">
        <v>6</v>
      </c>
      <c r="L26" s="22" t="n">
        <v>10</v>
      </c>
      <c r="M26" s="22" t="n">
        <v>57.8</v>
      </c>
      <c r="N26" s="22" t="n">
        <v>60</v>
      </c>
      <c r="O26" s="22" t="n">
        <v>-2.2</v>
      </c>
    </row>
    <row r="27">
      <c r="A27" s="22" t="inlineStr">
        <is>
          <t>Revenant</t>
        </is>
      </c>
      <c r="B27" s="22" t="inlineStr">
        <is>
          <t>Marksman</t>
        </is>
      </c>
      <c r="C27" s="22" t="n">
        <v>700</v>
      </c>
      <c r="D27" s="22" t="n">
        <v>13</v>
      </c>
      <c r="E27" s="22" t="n">
        <v>18</v>
      </c>
      <c r="F27" s="22" t="n">
        <v>5</v>
      </c>
      <c r="G27" s="22" t="n">
        <v>7</v>
      </c>
      <c r="H27" s="22" t="n">
        <v>10</v>
      </c>
      <c r="I27" s="22" t="n">
        <v>8</v>
      </c>
      <c r="J27" s="22" t="n">
        <v>5</v>
      </c>
      <c r="K27" s="22" t="n">
        <v>3</v>
      </c>
      <c r="L27" s="22" t="n">
        <v>3</v>
      </c>
      <c r="M27" s="22" t="n">
        <v>46.7</v>
      </c>
      <c r="N27" s="22" t="n">
        <v>60</v>
      </c>
      <c r="O27" s="22" t="n">
        <v>-13.3</v>
      </c>
    </row>
    <row r="28">
      <c r="A28" s="22" t="inlineStr">
        <is>
          <t>Riktor</t>
        </is>
      </c>
      <c r="B28" s="22" t="inlineStr">
        <is>
          <t>Guardian</t>
        </is>
      </c>
      <c r="C28" s="22" t="n">
        <v>1050</v>
      </c>
      <c r="D28" s="22" t="n">
        <v>34</v>
      </c>
      <c r="E28" s="22" t="n">
        <v>28</v>
      </c>
      <c r="F28" s="22" t="n">
        <v>4</v>
      </c>
      <c r="G28" s="22" t="n">
        <v>4</v>
      </c>
      <c r="H28" s="22" t="n">
        <v>6</v>
      </c>
      <c r="I28" s="22" t="n">
        <v>5</v>
      </c>
      <c r="J28" s="22" t="n">
        <v>9</v>
      </c>
      <c r="K28" s="22" t="n">
        <v>6</v>
      </c>
      <c r="L28" s="22" t="n">
        <v>10</v>
      </c>
      <c r="M28" s="22" t="n">
        <v>57.3</v>
      </c>
      <c r="N28" s="22" t="n">
        <v>60</v>
      </c>
      <c r="O28" s="22" t="n">
        <v>-2.7</v>
      </c>
    </row>
    <row r="29">
      <c r="A29" s="22" t="inlineStr">
        <is>
          <t>Serath</t>
        </is>
      </c>
      <c r="B29" s="22" t="inlineStr">
        <is>
          <t>Striker</t>
        </is>
      </c>
      <c r="C29" s="22" t="n">
        <v>760</v>
      </c>
      <c r="D29" s="22" t="n">
        <v>17</v>
      </c>
      <c r="E29" s="22" t="n">
        <v>17</v>
      </c>
      <c r="F29" s="22" t="n">
        <v>6</v>
      </c>
      <c r="G29" s="22" t="n">
        <v>8</v>
      </c>
      <c r="H29" s="22" t="n">
        <v>8</v>
      </c>
      <c r="I29" s="22" t="n">
        <v>9</v>
      </c>
      <c r="J29" s="22" t="n">
        <v>4</v>
      </c>
      <c r="K29" s="22" t="n">
        <v>2</v>
      </c>
      <c r="L29" s="22" t="n">
        <v>4</v>
      </c>
      <c r="M29" s="22" t="n">
        <v>47.4</v>
      </c>
      <c r="N29" s="22" t="n">
        <v>60</v>
      </c>
      <c r="O29" s="22" t="n">
        <v>-12.6</v>
      </c>
    </row>
    <row r="30">
      <c r="A30" s="22" t="inlineStr">
        <is>
          <t>Sevarog</t>
        </is>
      </c>
      <c r="B30" s="22" t="inlineStr">
        <is>
          <t>Guardian</t>
        </is>
      </c>
      <c r="C30" s="22" t="n">
        <v>1050</v>
      </c>
      <c r="D30" s="22" t="n">
        <v>34</v>
      </c>
      <c r="E30" s="22" t="n">
        <v>28</v>
      </c>
      <c r="F30" s="22" t="n">
        <v>4</v>
      </c>
      <c r="G30" s="22" t="n">
        <v>4</v>
      </c>
      <c r="H30" s="22" t="n">
        <v>6</v>
      </c>
      <c r="I30" s="22" t="n">
        <v>5</v>
      </c>
      <c r="J30" s="22" t="n">
        <v>8</v>
      </c>
      <c r="K30" s="22" t="n">
        <v>6</v>
      </c>
      <c r="L30" s="22" t="n">
        <v>10</v>
      </c>
      <c r="M30" s="22" t="n">
        <v>56.3</v>
      </c>
      <c r="N30" s="22" t="n">
        <v>60</v>
      </c>
      <c r="O30" s="22" t="n">
        <v>-3.7</v>
      </c>
    </row>
    <row r="31">
      <c r="A31" s="22" t="inlineStr">
        <is>
          <t>Shinbi</t>
        </is>
      </c>
      <c r="B31" s="22" t="inlineStr">
        <is>
          <t>Striker</t>
        </is>
      </c>
      <c r="C31" s="22" t="n">
        <v>760</v>
      </c>
      <c r="D31" s="22" t="n">
        <v>17</v>
      </c>
      <c r="E31" s="22" t="n">
        <v>17</v>
      </c>
      <c r="F31" s="22" t="n">
        <v>6</v>
      </c>
      <c r="G31" s="22" t="n">
        <v>8</v>
      </c>
      <c r="H31" s="22" t="n">
        <v>8</v>
      </c>
      <c r="I31" s="22" t="n">
        <v>9</v>
      </c>
      <c r="J31" s="22" t="n">
        <v>4</v>
      </c>
      <c r="K31" s="22" t="n">
        <v>2</v>
      </c>
      <c r="L31" s="22" t="n">
        <v>4</v>
      </c>
      <c r="M31" s="22" t="n">
        <v>47.4</v>
      </c>
      <c r="N31" s="22" t="n">
        <v>60</v>
      </c>
      <c r="O31" s="22" t="n">
        <v>-12.6</v>
      </c>
    </row>
    <row r="32">
      <c r="A32" s="22" t="inlineStr">
        <is>
          <t>Sparrow</t>
        </is>
      </c>
      <c r="B32" s="22" t="inlineStr">
        <is>
          <t>Marksman</t>
        </is>
      </c>
      <c r="C32" s="22" t="n">
        <v>700</v>
      </c>
      <c r="D32" s="22" t="n">
        <v>13</v>
      </c>
      <c r="E32" s="22" t="n">
        <v>18</v>
      </c>
      <c r="F32" s="22" t="n">
        <v>5</v>
      </c>
      <c r="G32" s="22" t="n">
        <v>7</v>
      </c>
      <c r="H32" s="22" t="n">
        <v>10</v>
      </c>
      <c r="I32" s="22" t="n">
        <v>8</v>
      </c>
      <c r="J32" s="22" t="n">
        <v>5</v>
      </c>
      <c r="K32" s="22" t="n">
        <v>3</v>
      </c>
      <c r="L32" s="22" t="n">
        <v>3</v>
      </c>
      <c r="M32" s="22" t="n">
        <v>46.7</v>
      </c>
      <c r="N32" s="22" t="n">
        <v>60</v>
      </c>
      <c r="O32" s="22" t="n">
        <v>-13.3</v>
      </c>
    </row>
    <row r="33">
      <c r="A33" s="22" t="inlineStr">
        <is>
          <t>Steel</t>
        </is>
      </c>
      <c r="B33" s="22" t="inlineStr">
        <is>
          <t>Guardian</t>
        </is>
      </c>
      <c r="C33" s="22" t="n">
        <v>1150</v>
      </c>
      <c r="D33" s="22" t="n">
        <v>38</v>
      </c>
      <c r="E33" s="22" t="n">
        <v>28</v>
      </c>
      <c r="F33" s="22" t="n">
        <v>4</v>
      </c>
      <c r="G33" s="22" t="n">
        <v>4</v>
      </c>
      <c r="H33" s="22" t="n">
        <v>6</v>
      </c>
      <c r="I33" s="22" t="n">
        <v>5</v>
      </c>
      <c r="J33" s="22" t="n">
        <v>9</v>
      </c>
      <c r="K33" s="22" t="n">
        <v>8</v>
      </c>
      <c r="L33" s="22" t="n">
        <v>10</v>
      </c>
      <c r="M33" s="22" t="n">
        <v>60.2</v>
      </c>
      <c r="N33" s="22" t="n">
        <v>62</v>
      </c>
      <c r="O33" s="22" t="n">
        <v>-1.8</v>
      </c>
    </row>
    <row r="34">
      <c r="A34" s="22" t="inlineStr">
        <is>
          <t>Terra</t>
        </is>
      </c>
      <c r="B34" s="22" t="inlineStr">
        <is>
          <t>Guardian</t>
        </is>
      </c>
      <c r="C34" s="22" t="n">
        <v>1050</v>
      </c>
      <c r="D34" s="22" t="n">
        <v>34</v>
      </c>
      <c r="E34" s="22" t="n">
        <v>34</v>
      </c>
      <c r="F34" s="22" t="n">
        <v>4</v>
      </c>
      <c r="G34" s="22" t="n">
        <v>4</v>
      </c>
      <c r="H34" s="22" t="n">
        <v>6</v>
      </c>
      <c r="I34" s="22" t="n">
        <v>5</v>
      </c>
      <c r="J34" s="22" t="n">
        <v>8</v>
      </c>
      <c r="K34" s="22" t="n">
        <v>6</v>
      </c>
      <c r="L34" s="22" t="n">
        <v>9</v>
      </c>
      <c r="M34" s="22" t="n">
        <v>56</v>
      </c>
      <c r="N34" s="22" t="n">
        <v>60</v>
      </c>
      <c r="O34" s="22" t="n">
        <v>-4</v>
      </c>
    </row>
    <row r="35">
      <c r="A35" s="22" t="inlineStr">
        <is>
          <t>The Fey</t>
        </is>
      </c>
      <c r="B35" s="22" t="inlineStr">
        <is>
          <t>Controller</t>
        </is>
      </c>
      <c r="C35" s="22" t="n">
        <v>780</v>
      </c>
      <c r="D35" s="22" t="n">
        <v>18</v>
      </c>
      <c r="E35" s="22" t="n">
        <v>24</v>
      </c>
      <c r="F35" s="22" t="n">
        <v>5</v>
      </c>
      <c r="G35" s="22" t="n">
        <v>6</v>
      </c>
      <c r="H35" s="22" t="n">
        <v>7</v>
      </c>
      <c r="I35" s="22" t="n">
        <v>6</v>
      </c>
      <c r="J35" s="22" t="n">
        <v>10</v>
      </c>
      <c r="K35" s="22" t="n">
        <v>6</v>
      </c>
      <c r="L35" s="22" t="n">
        <v>5</v>
      </c>
      <c r="M35" s="22" t="n">
        <v>52.2</v>
      </c>
      <c r="N35" s="22" t="n">
        <v>60</v>
      </c>
      <c r="O35" s="22" t="n">
        <v>-7.8</v>
      </c>
    </row>
    <row r="36">
      <c r="A36" s="22" t="inlineStr">
        <is>
          <t>TwinBlast</t>
        </is>
      </c>
      <c r="B36" s="22" t="inlineStr">
        <is>
          <t>Marksman</t>
        </is>
      </c>
      <c r="C36" s="22" t="n">
        <v>700</v>
      </c>
      <c r="D36" s="22" t="n">
        <v>13</v>
      </c>
      <c r="E36" s="22" t="n">
        <v>18</v>
      </c>
      <c r="F36" s="22" t="n">
        <v>5</v>
      </c>
      <c r="G36" s="22" t="n">
        <v>7</v>
      </c>
      <c r="H36" s="22" t="n">
        <v>10</v>
      </c>
      <c r="I36" s="22" t="n">
        <v>8</v>
      </c>
      <c r="J36" s="22" t="n">
        <v>5</v>
      </c>
      <c r="K36" s="22" t="n">
        <v>3</v>
      </c>
      <c r="L36" s="22" t="n">
        <v>3</v>
      </c>
      <c r="M36" s="22" t="n">
        <v>46.7</v>
      </c>
      <c r="N36" s="22" t="n">
        <v>60</v>
      </c>
      <c r="O36" s="22" t="n">
        <v>-13.3</v>
      </c>
    </row>
    <row r="37">
      <c r="A37" s="22" t="inlineStr">
        <is>
          <t>Wraith</t>
        </is>
      </c>
      <c r="B37" s="22" t="inlineStr">
        <is>
          <t>Infiltrator</t>
        </is>
      </c>
      <c r="C37" s="22" t="n">
        <v>650</v>
      </c>
      <c r="D37" s="22" t="n">
        <v>12</v>
      </c>
      <c r="E37" s="22" t="n">
        <v>16</v>
      </c>
      <c r="F37" s="22" t="n">
        <v>7</v>
      </c>
      <c r="G37" s="22" t="n">
        <v>10</v>
      </c>
      <c r="H37" s="22" t="n">
        <v>8</v>
      </c>
      <c r="I37" s="22" t="n">
        <v>8</v>
      </c>
      <c r="J37" s="22" t="n">
        <v>5</v>
      </c>
      <c r="K37" s="22" t="n">
        <v>2</v>
      </c>
      <c r="L37" s="22" t="n">
        <v>2</v>
      </c>
      <c r="M37" s="22" t="n">
        <v>45.6</v>
      </c>
      <c r="N37" s="22" t="n">
        <v>60</v>
      </c>
      <c r="O37" s="22" t="n">
        <v>-14.4</v>
      </c>
    </row>
    <row r="38">
      <c r="A38" s="22" t="inlineStr">
        <is>
          <t>Wukong</t>
        </is>
      </c>
      <c r="B38" s="22" t="inlineStr">
        <is>
          <t>Bruiser</t>
        </is>
      </c>
      <c r="C38" s="22" t="n">
        <v>900</v>
      </c>
      <c r="D38" s="22" t="n">
        <v>26</v>
      </c>
      <c r="E38" s="22" t="n">
        <v>20</v>
      </c>
      <c r="F38" s="22" t="n">
        <v>5</v>
      </c>
      <c r="G38" s="22" t="n">
        <v>6</v>
      </c>
      <c r="H38" s="22" t="n">
        <v>7</v>
      </c>
      <c r="I38" s="22" t="n">
        <v>8</v>
      </c>
      <c r="J38" s="22" t="n">
        <v>6</v>
      </c>
      <c r="K38" s="22" t="n">
        <v>3</v>
      </c>
      <c r="L38" s="22" t="n">
        <v>7</v>
      </c>
      <c r="M38" s="22" t="n">
        <v>52</v>
      </c>
      <c r="N38" s="22" t="n">
        <v>60</v>
      </c>
      <c r="O38" s="22" t="n">
        <v>-8</v>
      </c>
    </row>
    <row r="39">
      <c r="A39" s="22" t="inlineStr">
        <is>
          <t>Yin</t>
        </is>
      </c>
      <c r="B39" s="22" t="inlineStr">
        <is>
          <t>Striker</t>
        </is>
      </c>
      <c r="C39" s="22" t="n">
        <v>760</v>
      </c>
      <c r="D39" s="22" t="n">
        <v>17</v>
      </c>
      <c r="E39" s="22" t="n">
        <v>17</v>
      </c>
      <c r="F39" s="22" t="n">
        <v>6</v>
      </c>
      <c r="G39" s="22" t="n">
        <v>8</v>
      </c>
      <c r="H39" s="22" t="n">
        <v>8</v>
      </c>
      <c r="I39" s="22" t="n">
        <v>9</v>
      </c>
      <c r="J39" s="22" t="n">
        <v>4</v>
      </c>
      <c r="K39" s="22" t="n">
        <v>2</v>
      </c>
      <c r="L39" s="22" t="n">
        <v>4</v>
      </c>
      <c r="M39" s="22" t="n">
        <v>47.4</v>
      </c>
      <c r="N39" s="22" t="n">
        <v>60</v>
      </c>
      <c r="O39" s="22" t="n">
        <v>-12.6</v>
      </c>
    </row>
    <row r="40">
      <c r="A40" s="22" t="inlineStr">
        <is>
          <t>Zinx</t>
        </is>
      </c>
      <c r="B40" s="22" t="inlineStr">
        <is>
          <t>Support</t>
        </is>
      </c>
      <c r="C40" s="22" t="n">
        <v>790</v>
      </c>
      <c r="D40" s="22" t="n">
        <v>18</v>
      </c>
      <c r="E40" s="22" t="n">
        <v>28</v>
      </c>
      <c r="F40" s="22" t="n">
        <v>5</v>
      </c>
      <c r="G40" s="22" t="n">
        <v>5</v>
      </c>
      <c r="H40" s="22" t="n">
        <v>6</v>
      </c>
      <c r="I40" s="22" t="n">
        <v>4</v>
      </c>
      <c r="J40" s="22" t="n">
        <v>7</v>
      </c>
      <c r="K40" s="22" t="n">
        <v>10</v>
      </c>
      <c r="L40" s="22" t="n">
        <v>5</v>
      </c>
      <c r="M40" s="22" t="n">
        <v>49</v>
      </c>
      <c r="N40" s="22" t="n">
        <v>60</v>
      </c>
      <c r="O40" s="22" t="n">
        <v>-11</v>
      </c>
    </row>
    <row r="41">
      <c r="A41" s="22" t="inlineStr">
        <is>
          <t>Boris</t>
        </is>
      </c>
      <c r="B41" s="22" t="inlineStr">
        <is>
          <t>Bruiser</t>
        </is>
      </c>
      <c r="C41" s="22" t="n">
        <v>940</v>
      </c>
      <c r="D41" s="22" t="n">
        <v>26</v>
      </c>
      <c r="E41" s="22" t="n">
        <v>20</v>
      </c>
      <c r="F41" s="22" t="n">
        <v>6</v>
      </c>
      <c r="G41" s="22" t="n">
        <v>6</v>
      </c>
      <c r="H41" s="22" t="n">
        <v>7</v>
      </c>
      <c r="I41" s="22" t="n">
        <v>8</v>
      </c>
      <c r="J41" s="22" t="n">
        <v>6</v>
      </c>
      <c r="K41" s="22" t="n">
        <v>3</v>
      </c>
      <c r="L41" s="22" t="n">
        <v>7</v>
      </c>
      <c r="M41" s="22" t="n">
        <v>53.2</v>
      </c>
      <c r="N41" s="22" t="n">
        <v>60</v>
      </c>
      <c r="O41" s="22" t="n">
        <v>-6.8</v>
      </c>
    </row>
    <row r="42">
      <c r="A42" s="22" t="inlineStr">
        <is>
          <t>Flux</t>
        </is>
      </c>
      <c r="B42" s="22" t="inlineStr">
        <is>
          <t>Controller</t>
        </is>
      </c>
      <c r="C42" s="22" t="n">
        <v>90</v>
      </c>
      <c r="D42" s="22" t="n">
        <v>12</v>
      </c>
      <c r="E42" s="22" t="n">
        <v>16</v>
      </c>
      <c r="F42" s="22" t="n">
        <v>5</v>
      </c>
      <c r="G42" s="22" t="n">
        <v>4</v>
      </c>
      <c r="H42" s="22" t="n">
        <v>6</v>
      </c>
      <c r="I42" s="22" t="n">
        <v>4</v>
      </c>
      <c r="J42" s="22" t="n">
        <v>4</v>
      </c>
      <c r="K42" s="22" t="n">
        <v>2</v>
      </c>
      <c r="L42" s="22" t="n">
        <v>2</v>
      </c>
      <c r="M42" s="22" t="n">
        <v>45.6</v>
      </c>
      <c r="N42" s="22" t="n">
        <v>60</v>
      </c>
      <c r="O42" s="22" t="n">
        <v>0</v>
      </c>
    </row>
    <row r="43">
      <c r="A43" s="22" t="inlineStr">
        <is>
          <t>Riva</t>
        </is>
      </c>
      <c r="B43" s="22" t="inlineStr">
        <is>
          <t>Support</t>
        </is>
      </c>
      <c r="C43" s="22" t="n">
        <v>95</v>
      </c>
      <c r="D43" s="22" t="n">
        <v>12</v>
      </c>
      <c r="E43" s="22" t="n">
        <v>16</v>
      </c>
      <c r="F43" s="22" t="n">
        <v>5</v>
      </c>
      <c r="G43" s="22" t="n">
        <v>4</v>
      </c>
      <c r="H43" s="22" t="n">
        <v>6</v>
      </c>
      <c r="I43" s="22" t="n">
        <v>4</v>
      </c>
      <c r="J43" s="22" t="n">
        <v>4</v>
      </c>
      <c r="K43" s="22" t="n">
        <v>2</v>
      </c>
      <c r="L43" s="22" t="n">
        <v>2</v>
      </c>
      <c r="M43" s="22" t="n">
        <v>45.6</v>
      </c>
      <c r="N43" s="22" t="n">
        <v>60</v>
      </c>
      <c r="O43" s="22" t="n">
        <v>0</v>
      </c>
    </row>
    <row r="44">
      <c r="A44" s="22" t="inlineStr">
        <is>
          <t>Bastion</t>
        </is>
      </c>
      <c r="B44" s="22" t="inlineStr">
        <is>
          <t>Guardian</t>
        </is>
      </c>
      <c r="C44" s="22" t="n">
        <v>120</v>
      </c>
      <c r="D44" s="22" t="n">
        <v>12</v>
      </c>
      <c r="E44" s="22" t="n">
        <v>16</v>
      </c>
      <c r="F44" s="22" t="n">
        <v>4</v>
      </c>
      <c r="G44" s="22" t="n">
        <v>4</v>
      </c>
      <c r="H44" s="22" t="n">
        <v>6</v>
      </c>
      <c r="I44" s="22" t="n">
        <v>4</v>
      </c>
      <c r="J44" s="22" t="n">
        <v>4</v>
      </c>
      <c r="K44" s="22" t="n">
        <v>2</v>
      </c>
      <c r="L44" s="22" t="n">
        <v>2</v>
      </c>
      <c r="M44" s="22" t="n">
        <v>45.6</v>
      </c>
      <c r="N44" s="22" t="n">
        <v>60</v>
      </c>
      <c r="O44" s="22" t="n">
        <v>0</v>
      </c>
    </row>
    <row r="45">
      <c r="A45" s="22" t="inlineStr">
        <is>
          <t>Vektor</t>
        </is>
      </c>
      <c r="B45" s="22" t="inlineStr">
        <is>
          <t>Striker</t>
        </is>
      </c>
      <c r="C45" s="22" t="n">
        <v>100</v>
      </c>
      <c r="D45" s="22" t="n">
        <v>12</v>
      </c>
      <c r="E45" s="22" t="n">
        <v>16</v>
      </c>
      <c r="F45" s="22" t="n">
        <v>6</v>
      </c>
      <c r="G45" s="22" t="n">
        <v>4</v>
      </c>
      <c r="H45" s="22" t="n">
        <v>6</v>
      </c>
      <c r="I45" s="22" t="n">
        <v>4</v>
      </c>
      <c r="J45" s="22" t="n">
        <v>4</v>
      </c>
      <c r="K45" s="22" t="n">
        <v>2</v>
      </c>
      <c r="L45" s="22" t="n">
        <v>2</v>
      </c>
      <c r="M45" s="22" t="n">
        <v>45.6</v>
      </c>
      <c r="N45" s="22" t="n">
        <v>60</v>
      </c>
      <c r="O45" s="22" t="n">
        <v>0</v>
      </c>
    </row>
  </sheetData>
  <mergeCells count="1">
    <mergeCell ref="A1:O1"/>
  </mergeCells>
  <conditionalFormatting sqref="H4:H4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4:I4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4:J4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4:K4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L4:L4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O4:O41">
    <cfRule type="expression" priority="6" dxfId="0">
      <formula>ABS(O4)&gt;5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18" customWidth="1" style="58" min="1" max="1"/>
    <col width="15" customWidth="1" style="58" min="2" max="2"/>
    <col width="13" customWidth="1" style="58" min="3" max="3"/>
    <col width="15" customWidth="1" style="58" min="4" max="4"/>
    <col width="17" customWidth="1" style="58" min="5" max="5"/>
    <col width="13" customWidth="1" style="58" min="6" max="6"/>
    <col width="13" customWidth="1" style="58" min="7" max="7"/>
    <col width="13" customWidth="1" style="58" min="8" max="8"/>
    <col width="17" customWidth="1" style="58" min="9" max="9"/>
    <col width="18" customWidth="1" style="58" min="10" max="10"/>
    <col width="15" customWidth="1" style="58" min="11" max="11"/>
    <col width="14" customWidth="1" style="58" min="12" max="12"/>
    <col width="17" customWidth="1" style="58" min="13" max="13"/>
    <col width="18" customWidth="1" style="58" min="14" max="14"/>
    <col width="48" customWidth="1" style="58" min="15" max="15"/>
    <col width="18" customWidth="1" style="58" min="16" max="16"/>
    <col width="18" customWidth="1" style="58" min="17" max="17"/>
    <col width="18" customWidth="1" style="58" min="18" max="18"/>
  </cols>
  <sheetData>
    <row r="1" ht="30" customHeight="1" s="58">
      <c r="A1" s="9" t="inlineStr">
        <is>
          <t>Visione, rilevamento, identificazione e stealth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 ht="34" customHeight="1" s="58">
      <c r="A3" s="14" t="inlineStr">
        <is>
          <t>Hero</t>
        </is>
      </c>
      <c r="B3" s="14" t="inlineStr">
        <is>
          <t>Ruolo</t>
        </is>
      </c>
      <c r="C3" s="14" t="inlineStr">
        <is>
          <t>Sight_Range_Hex</t>
        </is>
      </c>
      <c r="D3" s="14" t="inlineStr">
        <is>
          <t>Detection_0_100</t>
        </is>
      </c>
      <c r="E3" s="14" t="inlineStr">
        <is>
          <t>Identification_0_100</t>
        </is>
      </c>
      <c r="F3" s="14" t="inlineStr">
        <is>
          <t>Tracking_Turni</t>
        </is>
      </c>
      <c r="G3" s="14" t="inlineStr">
        <is>
          <t>Vision_Height</t>
        </is>
      </c>
      <c r="H3" s="14" t="inlineStr">
        <is>
          <t>Stealth_1_10</t>
        </is>
      </c>
      <c r="I3" s="14" t="inlineStr">
        <is>
          <t>Reveal_Recovery_Step</t>
        </is>
      </c>
      <c r="J3" s="14" t="inlineStr">
        <is>
          <t>Spotting_Support_1_10</t>
        </is>
      </c>
      <c r="K3" s="14" t="inlineStr">
        <is>
          <t>Firma_Movimento</t>
        </is>
      </c>
      <c r="L3" s="14" t="inlineStr">
        <is>
          <t>Firma_Attacco</t>
        </is>
      </c>
      <c r="M3" s="14" t="inlineStr">
        <is>
          <t>Sensor_Resist_1_10</t>
        </is>
      </c>
      <c r="N3" s="14" t="inlineStr">
        <is>
          <t>Contatto_Default</t>
        </is>
      </c>
      <c r="O3" s="14" t="inlineStr">
        <is>
          <t>Note</t>
        </is>
      </c>
      <c r="P3" s="14" t="inlineStr">
        <is>
          <t>Firma_Base</t>
        </is>
      </c>
      <c r="Q3" s="14" t="inlineStr">
        <is>
          <t>Contact_Persist_Turni</t>
        </is>
      </c>
      <c r="R3" s="14" t="inlineStr">
        <is>
          <t>Scope_v0.1</t>
        </is>
      </c>
    </row>
    <row r="4">
      <c r="A4" s="22" t="inlineStr">
        <is>
          <t>Aurora</t>
        </is>
      </c>
      <c r="B4" s="22" t="inlineStr">
        <is>
          <t>Controller</t>
        </is>
      </c>
      <c r="C4" s="22" t="n">
        <v>7</v>
      </c>
      <c r="D4" s="22" t="n">
        <v>58</v>
      </c>
      <c r="E4" s="22" t="n">
        <v>55</v>
      </c>
      <c r="F4" s="22" t="n">
        <v>2</v>
      </c>
      <c r="G4" s="22" t="n">
        <v>2</v>
      </c>
      <c r="H4" s="22" t="n">
        <v>5</v>
      </c>
      <c r="I4" s="22" t="n">
        <v>3</v>
      </c>
      <c r="J4" s="22" t="n">
        <v>8</v>
      </c>
      <c r="K4" s="22" t="n">
        <v>5</v>
      </c>
      <c r="L4" s="22" t="n">
        <v>9</v>
      </c>
      <c r="M4" s="22" t="n">
        <v>4</v>
      </c>
      <c r="N4" s="22" t="inlineStr">
        <is>
          <t>Rilevato</t>
        </is>
      </c>
      <c r="O4" s="22" t="inlineStr">
        <is>
          <t>360° base; coni solo per overwatch/sensori. Attacco rivela almeno origine o direzione.</t>
        </is>
      </c>
      <c r="P4" s="22" t="n">
        <v>5</v>
      </c>
      <c r="Q4" s="22" t="n">
        <v>1</v>
      </c>
      <c r="R4" s="22" t="inlineStr">
        <is>
          <t>Slice</t>
        </is>
      </c>
    </row>
    <row r="5">
      <c r="A5" s="22" t="inlineStr">
        <is>
          <t>Countess</t>
        </is>
      </c>
      <c r="B5" s="22" t="inlineStr">
        <is>
          <t>Infiltrator</t>
        </is>
      </c>
      <c r="C5" s="22" t="n">
        <v>7</v>
      </c>
      <c r="D5" s="22" t="n">
        <v>55</v>
      </c>
      <c r="E5" s="22" t="n">
        <v>55</v>
      </c>
      <c r="F5" s="22" t="n">
        <v>2</v>
      </c>
      <c r="G5" s="22" t="n">
        <v>2</v>
      </c>
      <c r="H5" s="22" t="n">
        <v>10</v>
      </c>
      <c r="I5" s="22" t="n">
        <v>1</v>
      </c>
      <c r="J5" s="22" t="n">
        <v>5</v>
      </c>
      <c r="K5" s="22" t="n">
        <v>2</v>
      </c>
      <c r="L5" s="22" t="n">
        <v>6</v>
      </c>
      <c r="M5" s="22" t="n">
        <v>9</v>
      </c>
      <c r="N5" s="22" t="inlineStr">
        <is>
          <t>Rilevato</t>
        </is>
      </c>
      <c r="O5" s="22" t="inlineStr">
        <is>
          <t>360° base; coni solo per overwatch/sensori. Attacco rivela almeno origine o direzione.</t>
        </is>
      </c>
      <c r="P5" s="22" t="n">
        <v>0</v>
      </c>
      <c r="Q5" s="22" t="n">
        <v>1</v>
      </c>
      <c r="R5" s="22" t="inlineStr">
        <is>
          <t>Espansione</t>
        </is>
      </c>
    </row>
    <row r="6">
      <c r="A6" s="22" t="inlineStr">
        <is>
          <t>Crunch</t>
        </is>
      </c>
      <c r="B6" s="22" t="inlineStr">
        <is>
          <t>Bruiser</t>
        </is>
      </c>
      <c r="C6" s="22" t="n">
        <v>6</v>
      </c>
      <c r="D6" s="22" t="n">
        <v>48</v>
      </c>
      <c r="E6" s="22" t="n">
        <v>45</v>
      </c>
      <c r="F6" s="22" t="n">
        <v>1</v>
      </c>
      <c r="G6" s="22" t="n">
        <v>2</v>
      </c>
      <c r="H6" s="22" t="n">
        <v>3</v>
      </c>
      <c r="I6" s="22" t="n">
        <v>3</v>
      </c>
      <c r="J6" s="22" t="n">
        <v>5</v>
      </c>
      <c r="K6" s="22" t="n">
        <v>8</v>
      </c>
      <c r="L6" s="22" t="n">
        <v>10</v>
      </c>
      <c r="M6" s="22" t="n">
        <v>2</v>
      </c>
      <c r="N6" s="22" t="inlineStr">
        <is>
          <t>Contatto incerto</t>
        </is>
      </c>
      <c r="O6" s="22" t="inlineStr">
        <is>
          <t>360° base; coni solo per overwatch/sensori. Attacco rivela almeno origine o direzione.</t>
        </is>
      </c>
      <c r="P6" s="22" t="n">
        <v>7</v>
      </c>
      <c r="Q6" s="22" t="n">
        <v>1</v>
      </c>
      <c r="R6" s="22" t="inlineStr">
        <is>
          <t>Espansione</t>
        </is>
      </c>
    </row>
    <row r="7">
      <c r="A7" s="22" t="inlineStr">
        <is>
          <t>Dekker</t>
        </is>
      </c>
      <c r="B7" s="22" t="inlineStr">
        <is>
          <t>Support</t>
        </is>
      </c>
      <c r="C7" s="22" t="n">
        <v>9</v>
      </c>
      <c r="D7" s="22" t="n">
        <v>60</v>
      </c>
      <c r="E7" s="22" t="n">
        <v>58</v>
      </c>
      <c r="F7" s="22" t="n">
        <v>3</v>
      </c>
      <c r="G7" s="22" t="n">
        <v>2</v>
      </c>
      <c r="H7" s="22" t="n">
        <v>4</v>
      </c>
      <c r="I7" s="22" t="n">
        <v>3</v>
      </c>
      <c r="J7" s="22" t="n">
        <v>10</v>
      </c>
      <c r="K7" s="22" t="n">
        <v>6</v>
      </c>
      <c r="L7" s="22" t="n">
        <v>10</v>
      </c>
      <c r="M7" s="22" t="n">
        <v>3</v>
      </c>
      <c r="N7" s="22" t="inlineStr">
        <is>
          <t>Rilevato</t>
        </is>
      </c>
      <c r="O7" s="22" t="inlineStr">
        <is>
          <t>360° base; coni solo per overwatch/sensori. Attacco rivela almeno origine o direzione.</t>
        </is>
      </c>
      <c r="P7" s="22" t="n">
        <v>6</v>
      </c>
      <c r="Q7" s="22" t="n">
        <v>1</v>
      </c>
      <c r="R7" s="22" t="inlineStr">
        <is>
          <t>Espansione</t>
        </is>
      </c>
    </row>
    <row r="8">
      <c r="A8" s="22" t="inlineStr">
        <is>
          <t>Drongo</t>
        </is>
      </c>
      <c r="B8" s="22" t="inlineStr">
        <is>
          <t>Marksman</t>
        </is>
      </c>
      <c r="C8" s="22" t="n">
        <v>10</v>
      </c>
      <c r="D8" s="22" t="n">
        <v>62</v>
      </c>
      <c r="E8" s="22" t="n">
        <v>70</v>
      </c>
      <c r="F8" s="22" t="n">
        <v>2</v>
      </c>
      <c r="G8" s="22" t="n">
        <v>2</v>
      </c>
      <c r="H8" s="22" t="n">
        <v>3</v>
      </c>
      <c r="I8" s="22" t="n">
        <v>4</v>
      </c>
      <c r="J8" s="22" t="n">
        <v>8</v>
      </c>
      <c r="K8" s="22" t="n">
        <v>7</v>
      </c>
      <c r="L8" s="22" t="n">
        <v>10</v>
      </c>
      <c r="M8" s="22" t="n">
        <v>2</v>
      </c>
      <c r="N8" s="22" t="inlineStr">
        <is>
          <t>Identificato</t>
        </is>
      </c>
      <c r="O8" s="22" t="inlineStr">
        <is>
          <t>360° base; coni solo per overwatch/sensori. Attacco rivela almeno origine o direzione.</t>
        </is>
      </c>
      <c r="P8" s="22" t="n">
        <v>7</v>
      </c>
      <c r="Q8" s="22" t="n">
        <v>1</v>
      </c>
      <c r="R8" s="22" t="inlineStr">
        <is>
          <t>Espansione</t>
        </is>
      </c>
    </row>
    <row r="9">
      <c r="A9" s="22" t="inlineStr">
        <is>
          <t>Feng Mao</t>
        </is>
      </c>
      <c r="B9" s="22" t="inlineStr">
        <is>
          <t>Bruiser</t>
        </is>
      </c>
      <c r="C9" s="22" t="n">
        <v>6</v>
      </c>
      <c r="D9" s="22" t="n">
        <v>48</v>
      </c>
      <c r="E9" s="22" t="n">
        <v>45</v>
      </c>
      <c r="F9" s="22" t="n">
        <v>1</v>
      </c>
      <c r="G9" s="22" t="n">
        <v>2</v>
      </c>
      <c r="H9" s="22" t="n">
        <v>3</v>
      </c>
      <c r="I9" s="22" t="n">
        <v>3</v>
      </c>
      <c r="J9" s="22" t="n">
        <v>5</v>
      </c>
      <c r="K9" s="22" t="n">
        <v>8</v>
      </c>
      <c r="L9" s="22" t="n">
        <v>10</v>
      </c>
      <c r="M9" s="22" t="n">
        <v>2</v>
      </c>
      <c r="N9" s="22" t="inlineStr">
        <is>
          <t>Contatto incerto</t>
        </is>
      </c>
      <c r="O9" s="22" t="inlineStr">
        <is>
          <t>360° base; coni solo per overwatch/sensori. Attacco rivela almeno origine o direzione.</t>
        </is>
      </c>
      <c r="P9" s="22" t="n">
        <v>7</v>
      </c>
      <c r="Q9" s="22" t="n">
        <v>1</v>
      </c>
      <c r="R9" s="22" t="inlineStr">
        <is>
          <t>Espansione</t>
        </is>
      </c>
    </row>
    <row r="10">
      <c r="A10" s="22" t="inlineStr">
        <is>
          <t>Gadget</t>
        </is>
      </c>
      <c r="B10" s="22" t="inlineStr">
        <is>
          <t>Controller</t>
        </is>
      </c>
      <c r="C10" s="22" t="n">
        <v>7</v>
      </c>
      <c r="D10" s="22" t="n">
        <v>68</v>
      </c>
      <c r="E10" s="22" t="n">
        <v>55</v>
      </c>
      <c r="F10" s="22" t="n">
        <v>2</v>
      </c>
      <c r="G10" s="22" t="n">
        <v>2</v>
      </c>
      <c r="H10" s="22" t="n">
        <v>4</v>
      </c>
      <c r="I10" s="22" t="n">
        <v>3</v>
      </c>
      <c r="J10" s="22" t="n">
        <v>9</v>
      </c>
      <c r="K10" s="22" t="n">
        <v>6</v>
      </c>
      <c r="L10" s="22" t="n">
        <v>10</v>
      </c>
      <c r="M10" s="22" t="n">
        <v>3</v>
      </c>
      <c r="N10" s="22" t="inlineStr">
        <is>
          <t>Rilevato</t>
        </is>
      </c>
      <c r="O10" s="22" t="inlineStr">
        <is>
          <t>360° base; coni solo per overwatch/sensori. Attacco rivela almeno origine o direzione.</t>
        </is>
      </c>
      <c r="P10" s="22" t="n">
        <v>6</v>
      </c>
      <c r="Q10" s="22" t="n">
        <v>1</v>
      </c>
      <c r="R10" s="22" t="inlineStr">
        <is>
          <t>Espansione</t>
        </is>
      </c>
    </row>
    <row r="11">
      <c r="A11" s="22" t="inlineStr">
        <is>
          <t>Gideon</t>
        </is>
      </c>
      <c r="B11" s="22" t="inlineStr">
        <is>
          <t>Controller</t>
        </is>
      </c>
      <c r="C11" s="22" t="n">
        <v>7</v>
      </c>
      <c r="D11" s="22" t="n">
        <v>58</v>
      </c>
      <c r="E11" s="22" t="n">
        <v>55</v>
      </c>
      <c r="F11" s="22" t="n">
        <v>2</v>
      </c>
      <c r="G11" s="22" t="n">
        <v>2</v>
      </c>
      <c r="H11" s="22" t="n">
        <v>4</v>
      </c>
      <c r="I11" s="22" t="n">
        <v>3</v>
      </c>
      <c r="J11" s="22" t="n">
        <v>8</v>
      </c>
      <c r="K11" s="22" t="n">
        <v>6</v>
      </c>
      <c r="L11" s="22" t="n">
        <v>10</v>
      </c>
      <c r="M11" s="22" t="n">
        <v>3</v>
      </c>
      <c r="N11" s="22" t="inlineStr">
        <is>
          <t>Rilevato</t>
        </is>
      </c>
      <c r="O11" s="22" t="inlineStr">
        <is>
          <t>360° base; coni solo per overwatch/sensori. Attacco rivela almeno origine o direzione.</t>
        </is>
      </c>
      <c r="P11" s="22" t="n">
        <v>6</v>
      </c>
      <c r="Q11" s="22" t="n">
        <v>1</v>
      </c>
      <c r="R11" s="22" t="inlineStr">
        <is>
          <t>Espansione</t>
        </is>
      </c>
    </row>
    <row r="12">
      <c r="A12" s="22" t="inlineStr">
        <is>
          <t>Greystone</t>
        </is>
      </c>
      <c r="B12" s="22" t="inlineStr">
        <is>
          <t>Guardian</t>
        </is>
      </c>
      <c r="C12" s="22" t="n">
        <v>6</v>
      </c>
      <c r="D12" s="22" t="n">
        <v>50</v>
      </c>
      <c r="E12" s="22" t="n">
        <v>45</v>
      </c>
      <c r="F12" s="22" t="n">
        <v>2</v>
      </c>
      <c r="G12" s="22" t="n">
        <v>2</v>
      </c>
      <c r="H12" s="22" t="n">
        <v>2</v>
      </c>
      <c r="I12" s="22" t="n">
        <v>3</v>
      </c>
      <c r="J12" s="22" t="n">
        <v>7</v>
      </c>
      <c r="K12" s="22" t="n">
        <v>9</v>
      </c>
      <c r="L12" s="22" t="n">
        <v>10</v>
      </c>
      <c r="M12" s="22" t="n">
        <v>1</v>
      </c>
      <c r="N12" s="22" t="inlineStr">
        <is>
          <t>Contatto incerto</t>
        </is>
      </c>
      <c r="O12" s="22" t="inlineStr">
        <is>
          <t>360° base; coni solo per overwatch/sensori. Attacco rivela almeno origine o direzione.</t>
        </is>
      </c>
      <c r="P12" s="22" t="n">
        <v>8</v>
      </c>
      <c r="Q12" s="22" t="n">
        <v>1</v>
      </c>
      <c r="R12" s="22" t="inlineStr">
        <is>
          <t>Espansione</t>
        </is>
      </c>
    </row>
    <row r="13">
      <c r="A13" s="22" t="inlineStr">
        <is>
          <t>GRIM.exe</t>
        </is>
      </c>
      <c r="B13" s="22" t="inlineStr">
        <is>
          <t>Marksman</t>
        </is>
      </c>
      <c r="C13" s="22" t="n">
        <v>10</v>
      </c>
      <c r="D13" s="22" t="n">
        <v>62</v>
      </c>
      <c r="E13" s="22" t="n">
        <v>70</v>
      </c>
      <c r="F13" s="22" t="n">
        <v>2</v>
      </c>
      <c r="G13" s="22" t="n">
        <v>2</v>
      </c>
      <c r="H13" s="22" t="n">
        <v>3</v>
      </c>
      <c r="I13" s="22" t="n">
        <v>4</v>
      </c>
      <c r="J13" s="22" t="n">
        <v>8</v>
      </c>
      <c r="K13" s="22" t="n">
        <v>7</v>
      </c>
      <c r="L13" s="22" t="n">
        <v>10</v>
      </c>
      <c r="M13" s="22" t="n">
        <v>2</v>
      </c>
      <c r="N13" s="22" t="inlineStr">
        <is>
          <t>Identificato</t>
        </is>
      </c>
      <c r="O13" s="22" t="inlineStr">
        <is>
          <t>360° base; coni solo per overwatch/sensori. Attacco rivela almeno origine o direzione.</t>
        </is>
      </c>
      <c r="P13" s="22" t="n">
        <v>7</v>
      </c>
      <c r="Q13" s="22" t="n">
        <v>1</v>
      </c>
      <c r="R13" s="22" t="inlineStr">
        <is>
          <t>Espansione</t>
        </is>
      </c>
    </row>
    <row r="14">
      <c r="A14" s="22" t="inlineStr">
        <is>
          <t>Grux</t>
        </is>
      </c>
      <c r="B14" s="22" t="inlineStr">
        <is>
          <t>Bruiser</t>
        </is>
      </c>
      <c r="C14" s="22" t="n">
        <v>6</v>
      </c>
      <c r="D14" s="22" t="n">
        <v>48</v>
      </c>
      <c r="E14" s="22" t="n">
        <v>45</v>
      </c>
      <c r="F14" s="22" t="n">
        <v>1</v>
      </c>
      <c r="G14" s="22" t="n">
        <v>2</v>
      </c>
      <c r="H14" s="22" t="n">
        <v>3</v>
      </c>
      <c r="I14" s="22" t="n">
        <v>3</v>
      </c>
      <c r="J14" s="22" t="n">
        <v>5</v>
      </c>
      <c r="K14" s="22" t="n">
        <v>8</v>
      </c>
      <c r="L14" s="22" t="n">
        <v>10</v>
      </c>
      <c r="M14" s="22" t="n">
        <v>2</v>
      </c>
      <c r="N14" s="22" t="inlineStr">
        <is>
          <t>Contatto incerto</t>
        </is>
      </c>
      <c r="O14" s="22" t="inlineStr">
        <is>
          <t>360° base; coni solo per overwatch/sensori. Attacco rivela almeno origine o direzione.</t>
        </is>
      </c>
      <c r="P14" s="22" t="n">
        <v>7</v>
      </c>
      <c r="Q14" s="22" t="n">
        <v>1</v>
      </c>
      <c r="R14" s="22" t="inlineStr">
        <is>
          <t>Espansione</t>
        </is>
      </c>
    </row>
    <row r="15">
      <c r="A15" s="22" t="inlineStr">
        <is>
          <t>Howitzer</t>
        </is>
      </c>
      <c r="B15" s="22" t="inlineStr">
        <is>
          <t>Controller</t>
        </is>
      </c>
      <c r="C15" s="22" t="n">
        <v>7</v>
      </c>
      <c r="D15" s="22" t="n">
        <v>58</v>
      </c>
      <c r="E15" s="22" t="n">
        <v>55</v>
      </c>
      <c r="F15" s="22" t="n">
        <v>2</v>
      </c>
      <c r="G15" s="22" t="n">
        <v>2</v>
      </c>
      <c r="H15" s="22" t="n">
        <v>4</v>
      </c>
      <c r="I15" s="22" t="n">
        <v>3</v>
      </c>
      <c r="J15" s="22" t="n">
        <v>8</v>
      </c>
      <c r="K15" s="22" t="n">
        <v>6</v>
      </c>
      <c r="L15" s="22" t="n">
        <v>10</v>
      </c>
      <c r="M15" s="22" t="n">
        <v>3</v>
      </c>
      <c r="N15" s="22" t="inlineStr">
        <is>
          <t>Rilevato</t>
        </is>
      </c>
      <c r="O15" s="22" t="inlineStr">
        <is>
          <t>360° base; coni solo per overwatch/sensori. Attacco rivela almeno origine o direzione.</t>
        </is>
      </c>
      <c r="P15" s="22" t="n">
        <v>6</v>
      </c>
      <c r="Q15" s="22" t="n">
        <v>1</v>
      </c>
      <c r="R15" s="22" t="inlineStr">
        <is>
          <t>Espansione</t>
        </is>
      </c>
    </row>
    <row r="16">
      <c r="A16" s="22" t="inlineStr">
        <is>
          <t>Iggy &amp; Scorch</t>
        </is>
      </c>
      <c r="B16" s="22" t="inlineStr">
        <is>
          <t>Controller</t>
        </is>
      </c>
      <c r="C16" s="22" t="n">
        <v>7</v>
      </c>
      <c r="D16" s="22" t="n">
        <v>58</v>
      </c>
      <c r="E16" s="22" t="n">
        <v>55</v>
      </c>
      <c r="F16" s="22" t="n">
        <v>2</v>
      </c>
      <c r="G16" s="22" t="n">
        <v>2</v>
      </c>
      <c r="H16" s="22" t="n">
        <v>4</v>
      </c>
      <c r="I16" s="22" t="n">
        <v>3</v>
      </c>
      <c r="J16" s="22" t="n">
        <v>8</v>
      </c>
      <c r="K16" s="22" t="n">
        <v>6</v>
      </c>
      <c r="L16" s="22" t="n">
        <v>10</v>
      </c>
      <c r="M16" s="22" t="n">
        <v>3</v>
      </c>
      <c r="N16" s="22" t="inlineStr">
        <is>
          <t>Rilevato</t>
        </is>
      </c>
      <c r="O16" s="22" t="inlineStr">
        <is>
          <t>360° base; coni solo per overwatch/sensori. Attacco rivela almeno origine o direzione.</t>
        </is>
      </c>
      <c r="P16" s="22" t="n">
        <v>6</v>
      </c>
      <c r="Q16" s="22" t="n">
        <v>1</v>
      </c>
      <c r="R16" s="22" t="inlineStr">
        <is>
          <t>Espansione</t>
        </is>
      </c>
    </row>
    <row r="17">
      <c r="A17" s="22" t="inlineStr">
        <is>
          <t>Kallari</t>
        </is>
      </c>
      <c r="B17" s="22" t="inlineStr">
        <is>
          <t>Infiltrator</t>
        </is>
      </c>
      <c r="C17" s="22" t="n">
        <v>7</v>
      </c>
      <c r="D17" s="22" t="n">
        <v>55</v>
      </c>
      <c r="E17" s="22" t="n">
        <v>55</v>
      </c>
      <c r="F17" s="22" t="n">
        <v>2</v>
      </c>
      <c r="G17" s="22" t="n">
        <v>2</v>
      </c>
      <c r="H17" s="22" t="n">
        <v>10</v>
      </c>
      <c r="I17" s="22" t="n">
        <v>1</v>
      </c>
      <c r="J17" s="22" t="n">
        <v>5</v>
      </c>
      <c r="K17" s="22" t="n">
        <v>2</v>
      </c>
      <c r="L17" s="22" t="n">
        <v>6</v>
      </c>
      <c r="M17" s="22" t="n">
        <v>9</v>
      </c>
      <c r="N17" s="22" t="inlineStr">
        <is>
          <t>Rilevato</t>
        </is>
      </c>
      <c r="O17" s="22" t="inlineStr">
        <is>
          <t>360° base; coni solo per overwatch/sensori. Attacco rivela almeno origine o direzione.</t>
        </is>
      </c>
      <c r="P17" s="22" t="n">
        <v>0</v>
      </c>
      <c r="Q17" s="22" t="n">
        <v>1</v>
      </c>
      <c r="R17" s="22" t="inlineStr">
        <is>
          <t>Espansione</t>
        </is>
      </c>
    </row>
    <row r="18">
      <c r="A18" s="22" t="inlineStr">
        <is>
          <t>Khaimera</t>
        </is>
      </c>
      <c r="B18" s="22" t="inlineStr">
        <is>
          <t>Bruiser</t>
        </is>
      </c>
      <c r="C18" s="22" t="n">
        <v>6</v>
      </c>
      <c r="D18" s="22" t="n">
        <v>48</v>
      </c>
      <c r="E18" s="22" t="n">
        <v>45</v>
      </c>
      <c r="F18" s="22" t="n">
        <v>1</v>
      </c>
      <c r="G18" s="22" t="n">
        <v>2</v>
      </c>
      <c r="H18" s="22" t="n">
        <v>3</v>
      </c>
      <c r="I18" s="22" t="n">
        <v>3</v>
      </c>
      <c r="J18" s="22" t="n">
        <v>5</v>
      </c>
      <c r="K18" s="22" t="n">
        <v>8</v>
      </c>
      <c r="L18" s="22" t="n">
        <v>10</v>
      </c>
      <c r="M18" s="22" t="n">
        <v>2</v>
      </c>
      <c r="N18" s="22" t="inlineStr">
        <is>
          <t>Contatto incerto</t>
        </is>
      </c>
      <c r="O18" s="22" t="inlineStr">
        <is>
          <t>360° base; coni solo per overwatch/sensori. Attacco rivela almeno origine o direzione.</t>
        </is>
      </c>
      <c r="P18" s="22" t="n">
        <v>7</v>
      </c>
      <c r="Q18" s="22" t="n">
        <v>1</v>
      </c>
      <c r="R18" s="22" t="inlineStr">
        <is>
          <t>Espansione</t>
        </is>
      </c>
    </row>
    <row r="19">
      <c r="A19" s="22" t="inlineStr">
        <is>
          <t>Kwang</t>
        </is>
      </c>
      <c r="B19" s="22" t="inlineStr">
        <is>
          <t>Bruiser</t>
        </is>
      </c>
      <c r="C19" s="22" t="n">
        <v>6</v>
      </c>
      <c r="D19" s="22" t="n">
        <v>48</v>
      </c>
      <c r="E19" s="22" t="n">
        <v>45</v>
      </c>
      <c r="F19" s="22" t="n">
        <v>1</v>
      </c>
      <c r="G19" s="22" t="n">
        <v>2</v>
      </c>
      <c r="H19" s="22" t="n">
        <v>3</v>
      </c>
      <c r="I19" s="22" t="n">
        <v>3</v>
      </c>
      <c r="J19" s="22" t="n">
        <v>5</v>
      </c>
      <c r="K19" s="22" t="n">
        <v>8</v>
      </c>
      <c r="L19" s="22" t="n">
        <v>10</v>
      </c>
      <c r="M19" s="22" t="n">
        <v>2</v>
      </c>
      <c r="N19" s="22" t="inlineStr">
        <is>
          <t>Contatto incerto</t>
        </is>
      </c>
      <c r="O19" s="22" t="inlineStr">
        <is>
          <t>360° base; coni solo per overwatch/sensori. Attacco rivela almeno origine o direzione.</t>
        </is>
      </c>
      <c r="P19" s="22" t="n">
        <v>7</v>
      </c>
      <c r="Q19" s="22" t="n">
        <v>1</v>
      </c>
      <c r="R19" s="22" t="inlineStr">
        <is>
          <t>Slice</t>
        </is>
      </c>
    </row>
    <row r="20">
      <c r="A20" s="22" t="inlineStr">
        <is>
          <t>Lt. Belica</t>
        </is>
      </c>
      <c r="B20" s="22" t="inlineStr">
        <is>
          <t>Controller</t>
        </is>
      </c>
      <c r="C20" s="22" t="n">
        <v>7</v>
      </c>
      <c r="D20" s="22" t="n">
        <v>58</v>
      </c>
      <c r="E20" s="22" t="n">
        <v>55</v>
      </c>
      <c r="F20" s="22" t="n">
        <v>2</v>
      </c>
      <c r="G20" s="22" t="n">
        <v>2</v>
      </c>
      <c r="H20" s="22" t="n">
        <v>4</v>
      </c>
      <c r="I20" s="22" t="n">
        <v>3</v>
      </c>
      <c r="J20" s="22" t="n">
        <v>8</v>
      </c>
      <c r="K20" s="22" t="n">
        <v>6</v>
      </c>
      <c r="L20" s="22" t="n">
        <v>10</v>
      </c>
      <c r="M20" s="22" t="n">
        <v>3</v>
      </c>
      <c r="N20" s="22" t="inlineStr">
        <is>
          <t>Rilevato</t>
        </is>
      </c>
      <c r="O20" s="22" t="inlineStr">
        <is>
          <t>360° base; coni solo per overwatch/sensori. Attacco rivela almeno origine o direzione.</t>
        </is>
      </c>
      <c r="P20" s="22" t="n">
        <v>6</v>
      </c>
      <c r="Q20" s="22" t="n">
        <v>1</v>
      </c>
      <c r="R20" s="22" t="inlineStr">
        <is>
          <t>Espansione</t>
        </is>
      </c>
    </row>
    <row r="21">
      <c r="A21" s="22" t="inlineStr">
        <is>
          <t>Morigesh</t>
        </is>
      </c>
      <c r="B21" s="22" t="inlineStr">
        <is>
          <t>Controller</t>
        </is>
      </c>
      <c r="C21" s="22" t="n">
        <v>7</v>
      </c>
      <c r="D21" s="22" t="n">
        <v>58</v>
      </c>
      <c r="E21" s="22" t="n">
        <v>55</v>
      </c>
      <c r="F21" s="22" t="n">
        <v>2</v>
      </c>
      <c r="G21" s="22" t="n">
        <v>2</v>
      </c>
      <c r="H21" s="22" t="n">
        <v>4</v>
      </c>
      <c r="I21" s="22" t="n">
        <v>3</v>
      </c>
      <c r="J21" s="22" t="n">
        <v>8</v>
      </c>
      <c r="K21" s="22" t="n">
        <v>6</v>
      </c>
      <c r="L21" s="22" t="n">
        <v>10</v>
      </c>
      <c r="M21" s="22" t="n">
        <v>3</v>
      </c>
      <c r="N21" s="22" t="inlineStr">
        <is>
          <t>Rilevato</t>
        </is>
      </c>
      <c r="O21" s="22" t="inlineStr">
        <is>
          <t>360° base; coni solo per overwatch/sensori. Attacco rivela almeno origine o direzione.</t>
        </is>
      </c>
      <c r="P21" s="22" t="n">
        <v>6</v>
      </c>
      <c r="Q21" s="22" t="n">
        <v>1</v>
      </c>
      <c r="R21" s="22" t="inlineStr">
        <is>
          <t>Espansione</t>
        </is>
      </c>
    </row>
    <row r="22">
      <c r="A22" s="22" t="inlineStr">
        <is>
          <t>Murdock</t>
        </is>
      </c>
      <c r="B22" s="22" t="inlineStr">
        <is>
          <t>Marksman</t>
        </is>
      </c>
      <c r="C22" s="22" t="n">
        <v>11</v>
      </c>
      <c r="D22" s="22" t="n">
        <v>68</v>
      </c>
      <c r="E22" s="22" t="n">
        <v>78</v>
      </c>
      <c r="F22" s="22" t="n">
        <v>3</v>
      </c>
      <c r="G22" s="22" t="n">
        <v>2</v>
      </c>
      <c r="H22" s="22" t="n">
        <v>3</v>
      </c>
      <c r="I22" s="22" t="n">
        <v>4</v>
      </c>
      <c r="J22" s="22" t="n">
        <v>8</v>
      </c>
      <c r="K22" s="22" t="n">
        <v>7</v>
      </c>
      <c r="L22" s="22" t="n">
        <v>10</v>
      </c>
      <c r="M22" s="22" t="n">
        <v>2</v>
      </c>
      <c r="N22" s="22" t="inlineStr">
        <is>
          <t>Identificato</t>
        </is>
      </c>
      <c r="O22" s="22" t="inlineStr">
        <is>
          <t>360° base; coni solo per overwatch/sensori. Attacco rivela almeno origine o direzione.</t>
        </is>
      </c>
      <c r="P22" s="22" t="n">
        <v>7</v>
      </c>
      <c r="Q22" s="22" t="n">
        <v>1</v>
      </c>
      <c r="R22" s="22" t="inlineStr">
        <is>
          <t>Slice</t>
        </is>
      </c>
    </row>
    <row r="23">
      <c r="A23" s="22" t="inlineStr">
        <is>
          <t>Muriel</t>
        </is>
      </c>
      <c r="B23" s="22" t="inlineStr">
        <is>
          <t>Support</t>
        </is>
      </c>
      <c r="C23" s="22" t="n">
        <v>9</v>
      </c>
      <c r="D23" s="22" t="n">
        <v>60</v>
      </c>
      <c r="E23" s="22" t="n">
        <v>58</v>
      </c>
      <c r="F23" s="22" t="n">
        <v>3</v>
      </c>
      <c r="G23" s="22" t="n">
        <v>2</v>
      </c>
      <c r="H23" s="22" t="n">
        <v>4</v>
      </c>
      <c r="I23" s="22" t="n">
        <v>3</v>
      </c>
      <c r="J23" s="22" t="n">
        <v>10</v>
      </c>
      <c r="K23" s="22" t="n">
        <v>6</v>
      </c>
      <c r="L23" s="22" t="n">
        <v>10</v>
      </c>
      <c r="M23" s="22" t="n">
        <v>3</v>
      </c>
      <c r="N23" s="22" t="inlineStr">
        <is>
          <t>Rilevato</t>
        </is>
      </c>
      <c r="O23" s="22" t="inlineStr">
        <is>
          <t>360° base; coni solo per overwatch/sensori. Attacco rivela almeno origine o direzione.</t>
        </is>
      </c>
      <c r="P23" s="22" t="n">
        <v>6</v>
      </c>
      <c r="Q23" s="22" t="n">
        <v>1</v>
      </c>
      <c r="R23" s="22" t="inlineStr">
        <is>
          <t>Espansione</t>
        </is>
      </c>
    </row>
    <row r="24">
      <c r="A24" s="22" t="inlineStr">
        <is>
          <t>Narbash</t>
        </is>
      </c>
      <c r="B24" s="22" t="inlineStr">
        <is>
          <t>Support</t>
        </is>
      </c>
      <c r="C24" s="22" t="n">
        <v>8</v>
      </c>
      <c r="D24" s="22" t="n">
        <v>60</v>
      </c>
      <c r="E24" s="22" t="n">
        <v>58</v>
      </c>
      <c r="F24" s="22" t="n">
        <v>3</v>
      </c>
      <c r="G24" s="22" t="n">
        <v>2</v>
      </c>
      <c r="H24" s="22" t="n">
        <v>4</v>
      </c>
      <c r="I24" s="22" t="n">
        <v>3</v>
      </c>
      <c r="J24" s="22" t="n">
        <v>10</v>
      </c>
      <c r="K24" s="22" t="n">
        <v>6</v>
      </c>
      <c r="L24" s="22" t="n">
        <v>10</v>
      </c>
      <c r="M24" s="22" t="n">
        <v>3</v>
      </c>
      <c r="N24" s="22" t="inlineStr">
        <is>
          <t>Rilevato</t>
        </is>
      </c>
      <c r="O24" s="22" t="inlineStr">
        <is>
          <t>360° base; coni solo per overwatch/sensori. Attacco rivela almeno origine o direzione.</t>
        </is>
      </c>
      <c r="P24" s="22" t="n">
        <v>6</v>
      </c>
      <c r="Q24" s="22" t="n">
        <v>1</v>
      </c>
      <c r="R24" s="22" t="inlineStr">
        <is>
          <t>Espansione</t>
        </is>
      </c>
    </row>
    <row r="25">
      <c r="A25" s="22" t="inlineStr">
        <is>
          <t>Phase</t>
        </is>
      </c>
      <c r="B25" s="22" t="inlineStr">
        <is>
          <t>Support</t>
        </is>
      </c>
      <c r="C25" s="22" t="n">
        <v>8</v>
      </c>
      <c r="D25" s="22" t="n">
        <v>60</v>
      </c>
      <c r="E25" s="22" t="n">
        <v>58</v>
      </c>
      <c r="F25" s="22" t="n">
        <v>3</v>
      </c>
      <c r="G25" s="22" t="n">
        <v>2</v>
      </c>
      <c r="H25" s="22" t="n">
        <v>4</v>
      </c>
      <c r="I25" s="22" t="n">
        <v>3</v>
      </c>
      <c r="J25" s="22" t="n">
        <v>10</v>
      </c>
      <c r="K25" s="22" t="n">
        <v>6</v>
      </c>
      <c r="L25" s="22" t="n">
        <v>10</v>
      </c>
      <c r="M25" s="22" t="n">
        <v>3</v>
      </c>
      <c r="N25" s="22" t="inlineStr">
        <is>
          <t>Rilevato</t>
        </is>
      </c>
      <c r="O25" s="22" t="inlineStr">
        <is>
          <t>360° base; coni solo per overwatch/sensori. Attacco rivela almeno origine o direzione.</t>
        </is>
      </c>
      <c r="P25" s="22" t="n">
        <v>6</v>
      </c>
      <c r="Q25" s="22" t="n">
        <v>1</v>
      </c>
      <c r="R25" s="22" t="inlineStr">
        <is>
          <t>Espansione</t>
        </is>
      </c>
    </row>
    <row r="26">
      <c r="A26" s="22" t="inlineStr">
        <is>
          <t>Rampage</t>
        </is>
      </c>
      <c r="B26" s="22" t="inlineStr">
        <is>
          <t>Guardian</t>
        </is>
      </c>
      <c r="C26" s="22" t="n">
        <v>6</v>
      </c>
      <c r="D26" s="22" t="n">
        <v>50</v>
      </c>
      <c r="E26" s="22" t="n">
        <v>45</v>
      </c>
      <c r="F26" s="22" t="n">
        <v>2</v>
      </c>
      <c r="G26" s="22" t="n">
        <v>2</v>
      </c>
      <c r="H26" s="22" t="n">
        <v>2</v>
      </c>
      <c r="I26" s="22" t="n">
        <v>3</v>
      </c>
      <c r="J26" s="22" t="n">
        <v>7</v>
      </c>
      <c r="K26" s="22" t="n">
        <v>9</v>
      </c>
      <c r="L26" s="22" t="n">
        <v>10</v>
      </c>
      <c r="M26" s="22" t="n">
        <v>1</v>
      </c>
      <c r="N26" s="22" t="inlineStr">
        <is>
          <t>Contatto incerto</t>
        </is>
      </c>
      <c r="O26" s="22" t="inlineStr">
        <is>
          <t>360° base; coni solo per overwatch/sensori. Attacco rivela almeno origine o direzione.</t>
        </is>
      </c>
      <c r="P26" s="22" t="n">
        <v>8</v>
      </c>
      <c r="Q26" s="22" t="n">
        <v>1</v>
      </c>
      <c r="R26" s="22" t="inlineStr">
        <is>
          <t>Espansione</t>
        </is>
      </c>
    </row>
    <row r="27">
      <c r="A27" s="22" t="inlineStr">
        <is>
          <t>Revenant</t>
        </is>
      </c>
      <c r="B27" s="22" t="inlineStr">
        <is>
          <t>Marksman</t>
        </is>
      </c>
      <c r="C27" s="22" t="n">
        <v>10</v>
      </c>
      <c r="D27" s="22" t="n">
        <v>62</v>
      </c>
      <c r="E27" s="22" t="n">
        <v>70</v>
      </c>
      <c r="F27" s="22" t="n">
        <v>2</v>
      </c>
      <c r="G27" s="22" t="n">
        <v>2</v>
      </c>
      <c r="H27" s="22" t="n">
        <v>3</v>
      </c>
      <c r="I27" s="22" t="n">
        <v>4</v>
      </c>
      <c r="J27" s="22" t="n">
        <v>8</v>
      </c>
      <c r="K27" s="22" t="n">
        <v>7</v>
      </c>
      <c r="L27" s="22" t="n">
        <v>10</v>
      </c>
      <c r="M27" s="22" t="n">
        <v>2</v>
      </c>
      <c r="N27" s="22" t="inlineStr">
        <is>
          <t>Identificato</t>
        </is>
      </c>
      <c r="O27" s="22" t="inlineStr">
        <is>
          <t>360° base; coni solo per overwatch/sensori. Attacco rivela almeno origine o direzione.</t>
        </is>
      </c>
      <c r="P27" s="22" t="n">
        <v>7</v>
      </c>
      <c r="Q27" s="22" t="n">
        <v>1</v>
      </c>
      <c r="R27" s="22" t="inlineStr">
        <is>
          <t>Espansione</t>
        </is>
      </c>
    </row>
    <row r="28">
      <c r="A28" s="22" t="inlineStr">
        <is>
          <t>Riktor</t>
        </is>
      </c>
      <c r="B28" s="22" t="inlineStr">
        <is>
          <t>Guardian</t>
        </is>
      </c>
      <c r="C28" s="22" t="n">
        <v>6</v>
      </c>
      <c r="D28" s="22" t="n">
        <v>50</v>
      </c>
      <c r="E28" s="22" t="n">
        <v>45</v>
      </c>
      <c r="F28" s="22" t="n">
        <v>2</v>
      </c>
      <c r="G28" s="22" t="n">
        <v>2</v>
      </c>
      <c r="H28" s="22" t="n">
        <v>2</v>
      </c>
      <c r="I28" s="22" t="n">
        <v>3</v>
      </c>
      <c r="J28" s="22" t="n">
        <v>7</v>
      </c>
      <c r="K28" s="22" t="n">
        <v>9</v>
      </c>
      <c r="L28" s="22" t="n">
        <v>10</v>
      </c>
      <c r="M28" s="22" t="n">
        <v>1</v>
      </c>
      <c r="N28" s="22" t="inlineStr">
        <is>
          <t>Contatto incerto</t>
        </is>
      </c>
      <c r="O28" s="22" t="inlineStr">
        <is>
          <t>360° base; coni solo per overwatch/sensori. Attacco rivela almeno origine o direzione.</t>
        </is>
      </c>
      <c r="P28" s="22" t="n">
        <v>8</v>
      </c>
      <c r="Q28" s="22" t="n">
        <v>1</v>
      </c>
      <c r="R28" s="22" t="inlineStr">
        <is>
          <t>Espansione</t>
        </is>
      </c>
    </row>
    <row r="29">
      <c r="A29" s="22" t="inlineStr">
        <is>
          <t>Serath</t>
        </is>
      </c>
      <c r="B29" s="22" t="inlineStr">
        <is>
          <t>Striker</t>
        </is>
      </c>
      <c r="C29" s="22" t="n">
        <v>6</v>
      </c>
      <c r="D29" s="22" t="n">
        <v>48</v>
      </c>
      <c r="E29" s="22" t="n">
        <v>50</v>
      </c>
      <c r="F29" s="22" t="n">
        <v>1</v>
      </c>
      <c r="G29" s="22" t="n">
        <v>2</v>
      </c>
      <c r="H29" s="22" t="n">
        <v>5</v>
      </c>
      <c r="I29" s="22" t="n">
        <v>2</v>
      </c>
      <c r="J29" s="22" t="n">
        <v>4</v>
      </c>
      <c r="K29" s="22" t="n">
        <v>5</v>
      </c>
      <c r="L29" s="22" t="n">
        <v>9</v>
      </c>
      <c r="M29" s="22" t="n">
        <v>4</v>
      </c>
      <c r="N29" s="22" t="inlineStr">
        <is>
          <t>Contatto incerto</t>
        </is>
      </c>
      <c r="O29" s="22" t="inlineStr">
        <is>
          <t>360° base; coni solo per overwatch/sensori. Attacco rivela almeno origine o direzione.</t>
        </is>
      </c>
      <c r="P29" s="22" t="n">
        <v>5</v>
      </c>
      <c r="Q29" s="22" t="n">
        <v>1</v>
      </c>
      <c r="R29" s="22" t="inlineStr">
        <is>
          <t>Espansione</t>
        </is>
      </c>
    </row>
    <row r="30">
      <c r="A30" s="22" t="inlineStr">
        <is>
          <t>Sevarog</t>
        </is>
      </c>
      <c r="B30" s="22" t="inlineStr">
        <is>
          <t>Guardian</t>
        </is>
      </c>
      <c r="C30" s="22" t="n">
        <v>6</v>
      </c>
      <c r="D30" s="22" t="n">
        <v>50</v>
      </c>
      <c r="E30" s="22" t="n">
        <v>45</v>
      </c>
      <c r="F30" s="22" t="n">
        <v>2</v>
      </c>
      <c r="G30" s="22" t="n">
        <v>2</v>
      </c>
      <c r="H30" s="22" t="n">
        <v>2</v>
      </c>
      <c r="I30" s="22" t="n">
        <v>3</v>
      </c>
      <c r="J30" s="22" t="n">
        <v>7</v>
      </c>
      <c r="K30" s="22" t="n">
        <v>9</v>
      </c>
      <c r="L30" s="22" t="n">
        <v>10</v>
      </c>
      <c r="M30" s="22" t="n">
        <v>1</v>
      </c>
      <c r="N30" s="22" t="inlineStr">
        <is>
          <t>Contatto incerto</t>
        </is>
      </c>
      <c r="O30" s="22" t="inlineStr">
        <is>
          <t>360° base; coni solo per overwatch/sensori. Attacco rivela almeno origine o direzione.</t>
        </is>
      </c>
      <c r="P30" s="22" t="n">
        <v>8</v>
      </c>
      <c r="Q30" s="22" t="n">
        <v>1</v>
      </c>
      <c r="R30" s="22" t="inlineStr">
        <is>
          <t>Espansione</t>
        </is>
      </c>
    </row>
    <row r="31">
      <c r="A31" s="22" t="inlineStr">
        <is>
          <t>Shinbi</t>
        </is>
      </c>
      <c r="B31" s="22" t="inlineStr">
        <is>
          <t>Striker</t>
        </is>
      </c>
      <c r="C31" s="22" t="n">
        <v>6</v>
      </c>
      <c r="D31" s="22" t="n">
        <v>48</v>
      </c>
      <c r="E31" s="22" t="n">
        <v>50</v>
      </c>
      <c r="F31" s="22" t="n">
        <v>1</v>
      </c>
      <c r="G31" s="22" t="n">
        <v>2</v>
      </c>
      <c r="H31" s="22" t="n">
        <v>5</v>
      </c>
      <c r="I31" s="22" t="n">
        <v>2</v>
      </c>
      <c r="J31" s="22" t="n">
        <v>4</v>
      </c>
      <c r="K31" s="22" t="n">
        <v>5</v>
      </c>
      <c r="L31" s="22" t="n">
        <v>9</v>
      </c>
      <c r="M31" s="22" t="n">
        <v>4</v>
      </c>
      <c r="N31" s="22" t="inlineStr">
        <is>
          <t>Contatto incerto</t>
        </is>
      </c>
      <c r="O31" s="22" t="inlineStr">
        <is>
          <t>360° base; coni solo per overwatch/sensori. Attacco rivela almeno origine o direzione.</t>
        </is>
      </c>
      <c r="P31" s="22" t="n">
        <v>5</v>
      </c>
      <c r="Q31" s="22" t="n">
        <v>1</v>
      </c>
      <c r="R31" s="22" t="inlineStr">
        <is>
          <t>Espansione</t>
        </is>
      </c>
    </row>
    <row r="32">
      <c r="A32" s="22" t="inlineStr">
        <is>
          <t>Sparrow</t>
        </is>
      </c>
      <c r="B32" s="22" t="inlineStr">
        <is>
          <t>Marksman</t>
        </is>
      </c>
      <c r="C32" s="22" t="n">
        <v>10</v>
      </c>
      <c r="D32" s="22" t="n">
        <v>62</v>
      </c>
      <c r="E32" s="22" t="n">
        <v>70</v>
      </c>
      <c r="F32" s="22" t="n">
        <v>2</v>
      </c>
      <c r="G32" s="22" t="n">
        <v>2</v>
      </c>
      <c r="H32" s="22" t="n">
        <v>3</v>
      </c>
      <c r="I32" s="22" t="n">
        <v>4</v>
      </c>
      <c r="J32" s="22" t="n">
        <v>8</v>
      </c>
      <c r="K32" s="22" t="n">
        <v>7</v>
      </c>
      <c r="L32" s="22" t="n">
        <v>10</v>
      </c>
      <c r="M32" s="22" t="n">
        <v>2</v>
      </c>
      <c r="N32" s="22" t="inlineStr">
        <is>
          <t>Identificato</t>
        </is>
      </c>
      <c r="O32" s="22" t="inlineStr">
        <is>
          <t>360° base; coni solo per overwatch/sensori. Attacco rivela almeno origine o direzione.</t>
        </is>
      </c>
      <c r="P32" s="22" t="n">
        <v>7</v>
      </c>
      <c r="Q32" s="22" t="n">
        <v>1</v>
      </c>
      <c r="R32" s="22" t="inlineStr">
        <is>
          <t>Espansione</t>
        </is>
      </c>
    </row>
    <row r="33">
      <c r="A33" s="22" t="inlineStr">
        <is>
          <t>Steel</t>
        </is>
      </c>
      <c r="B33" s="22" t="inlineStr">
        <is>
          <t>Guardian</t>
        </is>
      </c>
      <c r="C33" s="22" t="n">
        <v>6</v>
      </c>
      <c r="D33" s="22" t="n">
        <v>50</v>
      </c>
      <c r="E33" s="22" t="n">
        <v>45</v>
      </c>
      <c r="F33" s="22" t="n">
        <v>2</v>
      </c>
      <c r="G33" s="22" t="n">
        <v>2</v>
      </c>
      <c r="H33" s="22" t="n">
        <v>2</v>
      </c>
      <c r="I33" s="22" t="n">
        <v>3</v>
      </c>
      <c r="J33" s="22" t="n">
        <v>7</v>
      </c>
      <c r="K33" s="22" t="n">
        <v>9</v>
      </c>
      <c r="L33" s="22" t="n">
        <v>10</v>
      </c>
      <c r="M33" s="22" t="n">
        <v>1</v>
      </c>
      <c r="N33" s="22" t="inlineStr">
        <is>
          <t>Contatto incerto</t>
        </is>
      </c>
      <c r="O33" s="22" t="inlineStr">
        <is>
          <t>360° base; coni solo per overwatch/sensori. Attacco rivela almeno origine o direzione.</t>
        </is>
      </c>
      <c r="P33" s="22" t="n">
        <v>8</v>
      </c>
      <c r="Q33" s="22" t="n">
        <v>1</v>
      </c>
      <c r="R33" s="22" t="inlineStr">
        <is>
          <t>Slice</t>
        </is>
      </c>
    </row>
    <row r="34">
      <c r="A34" s="22" t="inlineStr">
        <is>
          <t>Terra</t>
        </is>
      </c>
      <c r="B34" s="22" t="inlineStr">
        <is>
          <t>Guardian</t>
        </is>
      </c>
      <c r="C34" s="22" t="n">
        <v>6</v>
      </c>
      <c r="D34" s="22" t="n">
        <v>50</v>
      </c>
      <c r="E34" s="22" t="n">
        <v>45</v>
      </c>
      <c r="F34" s="22" t="n">
        <v>2</v>
      </c>
      <c r="G34" s="22" t="n">
        <v>2</v>
      </c>
      <c r="H34" s="22" t="n">
        <v>2</v>
      </c>
      <c r="I34" s="22" t="n">
        <v>3</v>
      </c>
      <c r="J34" s="22" t="n">
        <v>7</v>
      </c>
      <c r="K34" s="22" t="n">
        <v>9</v>
      </c>
      <c r="L34" s="22" t="n">
        <v>10</v>
      </c>
      <c r="M34" s="22" t="n">
        <v>1</v>
      </c>
      <c r="N34" s="22" t="inlineStr">
        <is>
          <t>Contatto incerto</t>
        </is>
      </c>
      <c r="O34" s="22" t="inlineStr">
        <is>
          <t>360° base; coni solo per overwatch/sensori. Attacco rivela almeno origine o direzione.</t>
        </is>
      </c>
      <c r="P34" s="22" t="n">
        <v>8</v>
      </c>
      <c r="Q34" s="22" t="n">
        <v>1</v>
      </c>
      <c r="R34" s="22" t="inlineStr">
        <is>
          <t>Espansione</t>
        </is>
      </c>
    </row>
    <row r="35">
      <c r="A35" s="22" t="inlineStr">
        <is>
          <t>The Fey</t>
        </is>
      </c>
      <c r="B35" s="22" t="inlineStr">
        <is>
          <t>Controller</t>
        </is>
      </c>
      <c r="C35" s="22" t="n">
        <v>7</v>
      </c>
      <c r="D35" s="22" t="n">
        <v>58</v>
      </c>
      <c r="E35" s="22" t="n">
        <v>55</v>
      </c>
      <c r="F35" s="22" t="n">
        <v>2</v>
      </c>
      <c r="G35" s="22" t="n">
        <v>2</v>
      </c>
      <c r="H35" s="22" t="n">
        <v>4</v>
      </c>
      <c r="I35" s="22" t="n">
        <v>3</v>
      </c>
      <c r="J35" s="22" t="n">
        <v>8</v>
      </c>
      <c r="K35" s="22" t="n">
        <v>6</v>
      </c>
      <c r="L35" s="22" t="n">
        <v>10</v>
      </c>
      <c r="M35" s="22" t="n">
        <v>3</v>
      </c>
      <c r="N35" s="22" t="inlineStr">
        <is>
          <t>Rilevato</t>
        </is>
      </c>
      <c r="O35" s="22" t="inlineStr">
        <is>
          <t>360° base; coni solo per overwatch/sensori. Attacco rivela almeno origine o direzione.</t>
        </is>
      </c>
      <c r="P35" s="22" t="n">
        <v>6</v>
      </c>
      <c r="Q35" s="22" t="n">
        <v>1</v>
      </c>
      <c r="R35" s="22" t="inlineStr">
        <is>
          <t>Espansione</t>
        </is>
      </c>
    </row>
    <row r="36">
      <c r="A36" s="22" t="inlineStr">
        <is>
          <t>TwinBlast</t>
        </is>
      </c>
      <c r="B36" s="22" t="inlineStr">
        <is>
          <t>Marksman</t>
        </is>
      </c>
      <c r="C36" s="22" t="n">
        <v>10</v>
      </c>
      <c r="D36" s="22" t="n">
        <v>62</v>
      </c>
      <c r="E36" s="22" t="n">
        <v>70</v>
      </c>
      <c r="F36" s="22" t="n">
        <v>2</v>
      </c>
      <c r="G36" s="22" t="n">
        <v>2</v>
      </c>
      <c r="H36" s="22" t="n">
        <v>3</v>
      </c>
      <c r="I36" s="22" t="n">
        <v>4</v>
      </c>
      <c r="J36" s="22" t="n">
        <v>8</v>
      </c>
      <c r="K36" s="22" t="n">
        <v>7</v>
      </c>
      <c r="L36" s="22" t="n">
        <v>10</v>
      </c>
      <c r="M36" s="22" t="n">
        <v>2</v>
      </c>
      <c r="N36" s="22" t="inlineStr">
        <is>
          <t>Identificato</t>
        </is>
      </c>
      <c r="O36" s="22" t="inlineStr">
        <is>
          <t>360° base; coni solo per overwatch/sensori. Attacco rivela almeno origine o direzione.</t>
        </is>
      </c>
      <c r="P36" s="22" t="n">
        <v>7</v>
      </c>
      <c r="Q36" s="22" t="n">
        <v>1</v>
      </c>
      <c r="R36" s="22" t="inlineStr">
        <is>
          <t>Espansione</t>
        </is>
      </c>
    </row>
    <row r="37">
      <c r="A37" s="22" t="inlineStr">
        <is>
          <t>Wraith</t>
        </is>
      </c>
      <c r="B37" s="22" t="inlineStr">
        <is>
          <t>Infiltrator</t>
        </is>
      </c>
      <c r="C37" s="22" t="n">
        <v>11</v>
      </c>
      <c r="D37" s="22" t="n">
        <v>55</v>
      </c>
      <c r="E37" s="22" t="n">
        <v>82</v>
      </c>
      <c r="F37" s="22" t="n">
        <v>4</v>
      </c>
      <c r="G37" s="22" t="n">
        <v>2</v>
      </c>
      <c r="H37" s="22" t="n">
        <v>8</v>
      </c>
      <c r="I37" s="22" t="n">
        <v>1</v>
      </c>
      <c r="J37" s="22" t="n">
        <v>5</v>
      </c>
      <c r="K37" s="22" t="n">
        <v>2</v>
      </c>
      <c r="L37" s="22" t="n">
        <v>6</v>
      </c>
      <c r="M37" s="22" t="n">
        <v>7</v>
      </c>
      <c r="N37" s="22" t="inlineStr">
        <is>
          <t>Identificato</t>
        </is>
      </c>
      <c r="O37" s="22" t="inlineStr">
        <is>
          <t>360° base; coni solo per overwatch/sensori. Attacco rivela almeno origine o direzione.</t>
        </is>
      </c>
      <c r="P37" s="22" t="n">
        <v>2</v>
      </c>
      <c r="Q37" s="22" t="n">
        <v>1</v>
      </c>
      <c r="R37" s="22" t="inlineStr">
        <is>
          <t>Espansione</t>
        </is>
      </c>
    </row>
    <row r="38">
      <c r="A38" s="22" t="inlineStr">
        <is>
          <t>Wukong</t>
        </is>
      </c>
      <c r="B38" s="22" t="inlineStr">
        <is>
          <t>Bruiser</t>
        </is>
      </c>
      <c r="C38" s="22" t="n">
        <v>6</v>
      </c>
      <c r="D38" s="22" t="n">
        <v>48</v>
      </c>
      <c r="E38" s="22" t="n">
        <v>45</v>
      </c>
      <c r="F38" s="22" t="n">
        <v>1</v>
      </c>
      <c r="G38" s="22" t="n">
        <v>2</v>
      </c>
      <c r="H38" s="22" t="n">
        <v>3</v>
      </c>
      <c r="I38" s="22" t="n">
        <v>3</v>
      </c>
      <c r="J38" s="22" t="n">
        <v>5</v>
      </c>
      <c r="K38" s="22" t="n">
        <v>8</v>
      </c>
      <c r="L38" s="22" t="n">
        <v>10</v>
      </c>
      <c r="M38" s="22" t="n">
        <v>2</v>
      </c>
      <c r="N38" s="22" t="inlineStr">
        <is>
          <t>Contatto incerto</t>
        </is>
      </c>
      <c r="O38" s="22" t="inlineStr">
        <is>
          <t>360° base; coni solo per overwatch/sensori. Attacco rivela almeno origine o direzione.</t>
        </is>
      </c>
      <c r="P38" s="22" t="n">
        <v>7</v>
      </c>
      <c r="Q38" s="22" t="n">
        <v>1</v>
      </c>
      <c r="R38" s="22" t="inlineStr">
        <is>
          <t>Espansione</t>
        </is>
      </c>
    </row>
    <row r="39">
      <c r="A39" s="22" t="inlineStr">
        <is>
          <t>Yin</t>
        </is>
      </c>
      <c r="B39" s="22" t="inlineStr">
        <is>
          <t>Striker</t>
        </is>
      </c>
      <c r="C39" s="22" t="n">
        <v>6</v>
      </c>
      <c r="D39" s="22" t="n">
        <v>48</v>
      </c>
      <c r="E39" s="22" t="n">
        <v>50</v>
      </c>
      <c r="F39" s="22" t="n">
        <v>1</v>
      </c>
      <c r="G39" s="22" t="n">
        <v>2</v>
      </c>
      <c r="H39" s="22" t="n">
        <v>5</v>
      </c>
      <c r="I39" s="22" t="n">
        <v>2</v>
      </c>
      <c r="J39" s="22" t="n">
        <v>4</v>
      </c>
      <c r="K39" s="22" t="n">
        <v>5</v>
      </c>
      <c r="L39" s="22" t="n">
        <v>9</v>
      </c>
      <c r="M39" s="22" t="n">
        <v>4</v>
      </c>
      <c r="N39" s="22" t="inlineStr">
        <is>
          <t>Contatto incerto</t>
        </is>
      </c>
      <c r="O39" s="22" t="inlineStr">
        <is>
          <t>360° base; coni solo per overwatch/sensori. Attacco rivela almeno origine o direzione.</t>
        </is>
      </c>
      <c r="P39" s="22" t="n">
        <v>5</v>
      </c>
      <c r="Q39" s="22" t="n">
        <v>1</v>
      </c>
      <c r="R39" s="22" t="inlineStr">
        <is>
          <t>Espansione</t>
        </is>
      </c>
    </row>
    <row r="40">
      <c r="A40" s="22" t="inlineStr">
        <is>
          <t>Zinx</t>
        </is>
      </c>
      <c r="B40" s="22" t="inlineStr">
        <is>
          <t>Support</t>
        </is>
      </c>
      <c r="C40" s="22" t="n">
        <v>8</v>
      </c>
      <c r="D40" s="22" t="n">
        <v>60</v>
      </c>
      <c r="E40" s="22" t="n">
        <v>58</v>
      </c>
      <c r="F40" s="22" t="n">
        <v>3</v>
      </c>
      <c r="G40" s="22" t="n">
        <v>2</v>
      </c>
      <c r="H40" s="22" t="n">
        <v>4</v>
      </c>
      <c r="I40" s="22" t="n">
        <v>3</v>
      </c>
      <c r="J40" s="22" t="n">
        <v>10</v>
      </c>
      <c r="K40" s="22" t="n">
        <v>6</v>
      </c>
      <c r="L40" s="22" t="n">
        <v>10</v>
      </c>
      <c r="M40" s="22" t="n">
        <v>3</v>
      </c>
      <c r="N40" s="22" t="inlineStr">
        <is>
          <t>Rilevato</t>
        </is>
      </c>
      <c r="O40" s="22" t="inlineStr">
        <is>
          <t>360° base; coni solo per overwatch/sensori. Attacco rivela almeno origine o direzione.</t>
        </is>
      </c>
      <c r="P40" s="22" t="n">
        <v>6</v>
      </c>
      <c r="Q40" s="22" t="n">
        <v>1</v>
      </c>
      <c r="R40" s="22" t="inlineStr">
        <is>
          <t>Espansione</t>
        </is>
      </c>
    </row>
    <row r="41">
      <c r="A41" s="22" t="inlineStr">
        <is>
          <t>Boris</t>
        </is>
      </c>
      <c r="B41" s="22" t="inlineStr">
        <is>
          <t>Bruiser</t>
        </is>
      </c>
      <c r="C41" s="22" t="n">
        <v>6</v>
      </c>
      <c r="D41" s="22" t="n">
        <v>48</v>
      </c>
      <c r="E41" s="22" t="n">
        <v>45</v>
      </c>
      <c r="F41" s="22" t="n">
        <v>1</v>
      </c>
      <c r="G41" s="22" t="n">
        <v>2</v>
      </c>
      <c r="H41" s="22" t="n">
        <v>3</v>
      </c>
      <c r="I41" s="22" t="n">
        <v>3</v>
      </c>
      <c r="J41" s="22" t="n">
        <v>5</v>
      </c>
      <c r="K41" s="22" t="n">
        <v>8</v>
      </c>
      <c r="L41" s="22" t="n">
        <v>10</v>
      </c>
      <c r="M41" s="22" t="n">
        <v>2</v>
      </c>
      <c r="N41" s="22" t="inlineStr">
        <is>
          <t>Contatto incerto</t>
        </is>
      </c>
      <c r="O41" s="22" t="inlineStr">
        <is>
          <t>360° base; coni solo per overwatch/sensori. Attacco rivela almeno origine o direzione.</t>
        </is>
      </c>
      <c r="P41" s="22" t="n">
        <v>7</v>
      </c>
      <c r="Q41" s="22" t="n">
        <v>1</v>
      </c>
      <c r="R41" s="22" t="inlineStr">
        <is>
          <t>Espansione</t>
        </is>
      </c>
    </row>
    <row r="42">
      <c r="A42" s="22" t="inlineStr">
        <is>
          <t>Flux</t>
        </is>
      </c>
      <c r="B42" s="22" t="inlineStr">
        <is>
          <t>Controller</t>
        </is>
      </c>
      <c r="C42" s="22" t="n">
        <v>6</v>
      </c>
      <c r="D42" s="22" t="n">
        <v>48</v>
      </c>
      <c r="E42" s="22" t="n">
        <v>45</v>
      </c>
      <c r="F42" s="22" t="n">
        <v>1</v>
      </c>
      <c r="G42" s="22" t="n">
        <v>2</v>
      </c>
      <c r="H42" s="22" t="n">
        <v>2</v>
      </c>
      <c r="I42" s="22" t="n">
        <v>1</v>
      </c>
      <c r="J42" s="22" t="n">
        <v>4</v>
      </c>
      <c r="K42" s="22" t="n">
        <v>2</v>
      </c>
      <c r="L42" s="22" t="n">
        <v>6</v>
      </c>
      <c r="M42" s="22" t="n">
        <v>1</v>
      </c>
      <c r="N42" s="22" t="inlineStr">
        <is>
          <t>Rilevato</t>
        </is>
      </c>
      <c r="O42" s="22" t="inlineStr">
        <is>
          <t>Vista dal catalogo .md; resto al minimo di colonna, da differenziare col playtest</t>
        </is>
      </c>
      <c r="P42" s="22" t="n">
        <v>8</v>
      </c>
      <c r="Q42" s="22" t="n">
        <v>1</v>
      </c>
      <c r="R42" s="22" t="inlineStr">
        <is>
          <t>Slice</t>
        </is>
      </c>
    </row>
    <row r="43">
      <c r="A43" s="22" t="inlineStr">
        <is>
          <t>Riva</t>
        </is>
      </c>
      <c r="B43" s="22" t="inlineStr">
        <is>
          <t>Support</t>
        </is>
      </c>
      <c r="C43" s="22" t="n">
        <v>5</v>
      </c>
      <c r="D43" s="22" t="n">
        <v>48</v>
      </c>
      <c r="E43" s="22" t="n">
        <v>45</v>
      </c>
      <c r="F43" s="22" t="n">
        <v>1</v>
      </c>
      <c r="G43" s="22" t="n">
        <v>2</v>
      </c>
      <c r="H43" s="22" t="n">
        <v>2</v>
      </c>
      <c r="I43" s="22" t="n">
        <v>1</v>
      </c>
      <c r="J43" s="22" t="n">
        <v>4</v>
      </c>
      <c r="K43" s="22" t="n">
        <v>2</v>
      </c>
      <c r="L43" s="22" t="n">
        <v>6</v>
      </c>
      <c r="M43" s="22" t="n">
        <v>1</v>
      </c>
      <c r="N43" s="22" t="inlineStr">
        <is>
          <t>Rilevato</t>
        </is>
      </c>
      <c r="O43" s="22" t="inlineStr">
        <is>
          <t>Vista dal catalogo .md; resto al minimo di colonna, da differenziare col playtest</t>
        </is>
      </c>
      <c r="P43" s="22" t="n">
        <v>8</v>
      </c>
      <c r="Q43" s="22" t="n">
        <v>1</v>
      </c>
      <c r="R43" s="22" t="inlineStr">
        <is>
          <t>Slice</t>
        </is>
      </c>
    </row>
    <row r="44">
      <c r="A44" s="22" t="inlineStr">
        <is>
          <t>Bastion</t>
        </is>
      </c>
      <c r="B44" s="22" t="inlineStr">
        <is>
          <t>Guardian</t>
        </is>
      </c>
      <c r="C44" s="22" t="n">
        <v>5</v>
      </c>
      <c r="D44" s="22" t="n">
        <v>48</v>
      </c>
      <c r="E44" s="22" t="n">
        <v>45</v>
      </c>
      <c r="F44" s="22" t="n">
        <v>1</v>
      </c>
      <c r="G44" s="22" t="n">
        <v>2</v>
      </c>
      <c r="H44" s="22" t="n">
        <v>2</v>
      </c>
      <c r="I44" s="22" t="n">
        <v>1</v>
      </c>
      <c r="J44" s="22" t="n">
        <v>4</v>
      </c>
      <c r="K44" s="22" t="n">
        <v>2</v>
      </c>
      <c r="L44" s="22" t="n">
        <v>6</v>
      </c>
      <c r="M44" s="22" t="n">
        <v>1</v>
      </c>
      <c r="N44" s="22" t="inlineStr">
        <is>
          <t>Rilevato</t>
        </is>
      </c>
      <c r="O44" s="22" t="inlineStr">
        <is>
          <t>Vista dal catalogo .md; resto al minimo di colonna, da differenziare col playtest</t>
        </is>
      </c>
      <c r="P44" s="22" t="n">
        <v>8</v>
      </c>
      <c r="Q44" s="22" t="n">
        <v>1</v>
      </c>
      <c r="R44" s="22" t="inlineStr">
        <is>
          <t>Slice</t>
        </is>
      </c>
    </row>
    <row r="45">
      <c r="A45" s="22" t="inlineStr">
        <is>
          <t>Vektor</t>
        </is>
      </c>
      <c r="B45" s="22" t="inlineStr">
        <is>
          <t>Striker</t>
        </is>
      </c>
      <c r="C45" s="22" t="n">
        <v>6</v>
      </c>
      <c r="D45" s="22" t="n">
        <v>48</v>
      </c>
      <c r="E45" s="22" t="n">
        <v>45</v>
      </c>
      <c r="F45" s="22" t="n">
        <v>1</v>
      </c>
      <c r="G45" s="22" t="n">
        <v>2</v>
      </c>
      <c r="H45" s="22" t="n">
        <v>2</v>
      </c>
      <c r="I45" s="22" t="n">
        <v>1</v>
      </c>
      <c r="J45" s="22" t="n">
        <v>4</v>
      </c>
      <c r="K45" s="22" t="n">
        <v>2</v>
      </c>
      <c r="L45" s="22" t="n">
        <v>6</v>
      </c>
      <c r="M45" s="22" t="n">
        <v>1</v>
      </c>
      <c r="N45" s="22" t="inlineStr">
        <is>
          <t>Rilevato</t>
        </is>
      </c>
      <c r="O45" s="22" t="inlineStr">
        <is>
          <t>Vista dal catalogo .md; resto al minimo di colonna, da differenziare col playtest</t>
        </is>
      </c>
      <c r="P45" s="22" t="n">
        <v>8</v>
      </c>
      <c r="Q45" s="22" t="n">
        <v>1</v>
      </c>
      <c r="R45" s="22" t="inlineStr">
        <is>
          <t>Slice</t>
        </is>
      </c>
    </row>
  </sheetData>
  <mergeCells count="1">
    <mergeCell ref="A1:O1"/>
  </mergeCells>
  <conditionalFormatting sqref="C4:C4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4:D4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4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4:H4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4:J41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sqref="N4:N41" showDropDown="0" showInputMessage="0" showErrorMessage="0" allowBlank="0" type="list">
      <formula1>"Nascosto,Contatto incerto,Rilevato,Identificato,Ultimo contatto"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style="58" min="1" max="1"/>
    <col width="16" customWidth="1" style="58" min="2" max="2"/>
    <col width="16" customWidth="1" style="58" min="3" max="3"/>
    <col width="14" customWidth="1" style="58" min="4" max="4"/>
    <col width="14" customWidth="1" style="58" min="5" max="5"/>
    <col width="13" customWidth="1" style="58" min="6" max="6"/>
    <col width="24" customWidth="1" style="58" min="7" max="7"/>
    <col width="52" customWidth="1" style="58" min="8" max="8"/>
  </cols>
  <sheetData>
    <row r="1">
      <c r="A1" s="9" t="inlineStr">
        <is>
          <t>Parametri globali del sistema di visione — soglie, pesi e cadenza</t>
        </is>
      </c>
    </row>
    <row r="3">
      <c r="A3" s="14" t="inlineStr">
        <is>
          <t>Parametro</t>
        </is>
      </c>
      <c r="B3" s="14" t="inlineStr">
        <is>
          <t>Gruppo</t>
        </is>
      </c>
      <c r="C3" s="14" t="inlineStr">
        <is>
          <t>Valore_Completo</t>
        </is>
      </c>
      <c r="D3" s="14" t="inlineStr">
        <is>
          <t>Valore_v0.1</t>
        </is>
      </c>
      <c r="E3" s="14" t="inlineStr">
        <is>
          <t>Unità</t>
        </is>
      </c>
      <c r="F3" s="14" t="inlineStr">
        <is>
          <t>Scope</t>
        </is>
      </c>
      <c r="G3" s="14" t="inlineStr">
        <is>
          <t>Fonte</t>
        </is>
      </c>
      <c r="H3" s="14" t="inlineStr">
        <is>
          <t>Note</t>
        </is>
      </c>
    </row>
    <row r="4">
      <c r="A4" s="22" t="inlineStr">
        <is>
          <t>Soglia_Nessun_Contatto</t>
        </is>
      </c>
      <c r="B4" s="22" t="inlineStr">
        <is>
          <t>Soglie</t>
        </is>
      </c>
      <c r="C4" s="22" t="inlineStr">
        <is>
          <t>&lt; 0</t>
        </is>
      </c>
      <c r="D4" s="22" t="inlineStr">
        <is>
          <t>n/a</t>
        </is>
      </c>
      <c r="E4" s="22" t="inlineStr">
        <is>
          <t>punti</t>
        </is>
      </c>
      <c r="F4" s="22" t="inlineStr">
        <is>
          <t>Espansione</t>
        </is>
      </c>
      <c r="G4" s="22" t="inlineStr">
        <is>
          <t>Design visione §3</t>
        </is>
      </c>
      <c r="H4" s="22" t="inlineStr">
        <is>
          <t>Sotto zero: la squadra non sa nulla</t>
        </is>
      </c>
    </row>
    <row r="5">
      <c r="A5" s="22" t="inlineStr">
        <is>
          <t>Soglia_Contatto_Incerto</t>
        </is>
      </c>
      <c r="B5" s="22" t="inlineStr">
        <is>
          <t>Soglie</t>
        </is>
      </c>
      <c r="C5" s="22" t="inlineStr">
        <is>
          <t>0–29</t>
        </is>
      </c>
      <c r="D5" s="22" t="inlineStr">
        <is>
          <t>n/a</t>
        </is>
      </c>
      <c r="E5" s="22" t="inlineStr">
        <is>
          <t>punti</t>
        </is>
      </c>
      <c r="F5" s="22" t="inlineStr">
        <is>
          <t>Espansione</t>
        </is>
      </c>
      <c r="G5" s="22" t="inlineStr">
        <is>
          <t>Design visione §3</t>
        </is>
      </c>
      <c r="H5" s="22" t="inlineStr">
        <is>
          <t>Nello slice questo livello non esiste</t>
        </is>
      </c>
    </row>
    <row r="6">
      <c r="A6" s="22" t="inlineStr">
        <is>
          <t>Soglia_Rilevato</t>
        </is>
      </c>
      <c r="B6" s="22" t="inlineStr">
        <is>
          <t>Soglie</t>
        </is>
      </c>
      <c r="C6" s="22" t="inlineStr">
        <is>
          <t>30–59</t>
        </is>
      </c>
      <c r="D6" s="22" t="inlineStr">
        <is>
          <t>≥ 1</t>
        </is>
      </c>
      <c r="E6" s="22" t="inlineStr">
        <is>
          <t>punti</t>
        </is>
      </c>
      <c r="F6" s="22" t="inlineStr">
        <is>
          <t>Slice</t>
        </is>
      </c>
      <c r="G6" s="22" t="inlineStr">
        <is>
          <t>Design visione §3</t>
        </is>
      </c>
      <c r="H6" s="22" t="inlineStr">
        <is>
          <t>Nello slice è binario: in vista = Rilevato</t>
        </is>
      </c>
    </row>
    <row r="7">
      <c r="A7" s="22" t="inlineStr">
        <is>
          <t>Soglia_Identificato</t>
        </is>
      </c>
      <c r="B7" s="22" t="inlineStr">
        <is>
          <t>Soglie</t>
        </is>
      </c>
      <c r="C7" s="22" t="inlineStr">
        <is>
          <t>≥ 60</t>
        </is>
      </c>
      <c r="D7" s="22" t="inlineStr">
        <is>
          <t>n/a</t>
        </is>
      </c>
      <c r="E7" s="22" t="inlineStr">
        <is>
          <t>punti</t>
        </is>
      </c>
      <c r="F7" s="22" t="inlineStr">
        <is>
          <t>Espansione</t>
        </is>
      </c>
      <c r="G7" s="22" t="inlineStr">
        <is>
          <t>Design visione §3</t>
        </is>
      </c>
      <c r="H7" s="22" t="inlineStr">
        <is>
          <t>Richiede la firma visiva, fuori dallo slice</t>
        </is>
      </c>
    </row>
    <row r="8">
      <c r="A8" s="22" t="inlineStr">
        <is>
          <t>Peso_Distanza_Per_Hex</t>
        </is>
      </c>
      <c r="B8" s="22" t="inlineStr">
        <is>
          <t>Formula</t>
        </is>
      </c>
      <c r="C8" s="22" t="n">
        <v>-4</v>
      </c>
      <c r="D8" s="22" t="inlineStr">
        <is>
          <t>n/a</t>
        </is>
      </c>
      <c r="E8" s="22" t="inlineStr">
        <is>
          <t>punti/hex</t>
        </is>
      </c>
      <c r="F8" s="22" t="inlineStr">
        <is>
          <t>Espansione</t>
        </is>
      </c>
      <c r="G8" s="22" t="inlineStr">
        <is>
          <t>Da playtest</t>
        </is>
      </c>
      <c r="H8" s="22" t="inlineStr">
        <is>
          <t>Penalità per ogni esagono di distanza</t>
        </is>
      </c>
    </row>
    <row r="9">
      <c r="A9" s="22" t="inlineStr">
        <is>
          <t>Peso_Quota_Per_Livello</t>
        </is>
      </c>
      <c r="B9" s="22" t="inlineStr">
        <is>
          <t>Formula</t>
        </is>
      </c>
      <c r="C9" s="22" t="n">
        <v>8</v>
      </c>
      <c r="D9" s="22" t="n">
        <v>1</v>
      </c>
      <c r="E9" s="22" t="inlineStr">
        <is>
          <t>punti / hex</t>
        </is>
      </c>
      <c r="F9" s="22" t="inlineStr">
        <is>
          <t>Slice</t>
        </is>
      </c>
      <c r="G9" s="22" t="inlineStr">
        <is>
          <t>TERRAIN_HIGH nota «Visione +1»</t>
        </is>
      </c>
      <c r="H9" s="22" t="inlineStr">
        <is>
          <t>Nello slice la quota dà +1 al raggio, non punti</t>
        </is>
      </c>
    </row>
    <row r="10">
      <c r="A10" s="22" t="inlineStr">
        <is>
          <t>Peso_Movimento</t>
        </is>
      </c>
      <c r="B10" s="22" t="inlineStr">
        <is>
          <t>Formula</t>
        </is>
      </c>
      <c r="C10" s="22" t="n">
        <v>6</v>
      </c>
      <c r="D10" s="22" t="inlineStr">
        <is>
          <t>n/a</t>
        </is>
      </c>
      <c r="E10" s="22" t="inlineStr">
        <is>
          <t>punti</t>
        </is>
      </c>
      <c r="F10" s="22" t="inlineStr">
        <is>
          <t>Espansione</t>
        </is>
      </c>
      <c r="G10" s="22" t="inlineStr">
        <is>
          <t>Design visione §4</t>
        </is>
      </c>
      <c r="H10" s="22" t="inlineStr">
        <is>
          <t>Il bersaglio si è mosso in questo turno</t>
        </is>
      </c>
    </row>
    <row r="11">
      <c r="A11" s="22" t="inlineStr">
        <is>
          <t>Peso_Sprint</t>
        </is>
      </c>
      <c r="B11" s="22" t="inlineStr">
        <is>
          <t>Formula</t>
        </is>
      </c>
      <c r="C11" s="22" t="n">
        <v>14</v>
      </c>
      <c r="D11" s="22" t="inlineStr">
        <is>
          <t>n/a</t>
        </is>
      </c>
      <c r="E11" s="22" t="inlineStr">
        <is>
          <t>punti</t>
        </is>
      </c>
      <c r="F11" s="22" t="inlineStr">
        <is>
          <t>Espansione</t>
        </is>
      </c>
      <c r="G11" s="22" t="inlineStr">
        <is>
          <t>ACT_SPRINT Firma_Mod 12</t>
        </is>
      </c>
      <c r="H11" s="22" t="inlineStr">
        <is>
          <t>Correre aumenta molto la firma</t>
        </is>
      </c>
    </row>
    <row r="12">
      <c r="A12" s="22" t="inlineStr">
        <is>
          <t>Peso_Attacco</t>
        </is>
      </c>
      <c r="B12" s="22" t="inlineStr">
        <is>
          <t>Formula</t>
        </is>
      </c>
      <c r="C12" s="22" t="n">
        <v>20</v>
      </c>
      <c r="D12" s="22" t="inlineStr">
        <is>
          <t>n/a</t>
        </is>
      </c>
      <c r="E12" s="22" t="inlineStr">
        <is>
          <t>punti</t>
        </is>
      </c>
      <c r="F12" s="22" t="inlineStr">
        <is>
          <t>Espansione</t>
        </is>
      </c>
      <c r="G12" s="22" t="inlineStr">
        <is>
          <t>Design visione §4</t>
        </is>
      </c>
      <c r="H12" s="22" t="inlineStr">
        <is>
          <t>Attaccare rivela quasi sempre</t>
        </is>
      </c>
    </row>
    <row r="13">
      <c r="A13" s="22" t="inlineStr">
        <is>
          <t>Peso_Immobilita</t>
        </is>
      </c>
      <c r="B13" s="22" t="inlineStr">
        <is>
          <t>Formula</t>
        </is>
      </c>
      <c r="C13" s="22" t="n">
        <v>-8</v>
      </c>
      <c r="D13" s="22" t="inlineStr">
        <is>
          <t>n/a</t>
        </is>
      </c>
      <c r="E13" s="22" t="inlineStr">
        <is>
          <t>punti</t>
        </is>
      </c>
      <c r="F13" s="22" t="inlineStr">
        <is>
          <t>Espansione</t>
        </is>
      </c>
      <c r="G13" s="22" t="inlineStr">
        <is>
          <t>ACT_WAIT Firma_Mod -5</t>
        </is>
      </c>
      <c r="H13" s="22" t="inlineStr">
        <is>
          <t>Restare fermi riduce la firma</t>
        </is>
      </c>
    </row>
    <row r="14">
      <c r="A14" s="22" t="inlineStr">
        <is>
          <t>Peso_Illuminazione</t>
        </is>
      </c>
      <c r="B14" s="22" t="inlineStr">
        <is>
          <t>Formula</t>
        </is>
      </c>
      <c r="C14" s="22" t="n">
        <v>10</v>
      </c>
      <c r="D14" s="22" t="inlineStr">
        <is>
          <t>n/a</t>
        </is>
      </c>
      <c r="E14" s="22" t="inlineStr">
        <is>
          <t>punti</t>
        </is>
      </c>
      <c r="F14" s="22" t="inlineStr">
        <is>
          <t>Espansione</t>
        </is>
      </c>
      <c r="G14" s="22" t="inlineStr">
        <is>
          <t>HZ_FIRE Detection_Mod +15</t>
        </is>
      </c>
      <c r="H14" s="22" t="inlineStr">
        <is>
          <t>Fuoco e luce annullano parte dell'occultamento</t>
        </is>
      </c>
    </row>
    <row r="15">
      <c r="A15" s="22" t="inlineStr">
        <is>
          <t>Peso_Spotting_Alleato</t>
        </is>
      </c>
      <c r="B15" s="22" t="inlineStr">
        <is>
          <t>Formula</t>
        </is>
      </c>
      <c r="C15" s="22" t="n">
        <v>5</v>
      </c>
      <c r="D15" s="22" t="inlineStr">
        <is>
          <t>condiviso</t>
        </is>
      </c>
      <c r="E15" s="22" t="inlineStr">
        <is>
          <t>punti</t>
        </is>
      </c>
      <c r="F15" s="22" t="inlineStr">
        <is>
          <t>Slice</t>
        </is>
      </c>
      <c r="G15" s="22" t="inlineStr">
        <is>
          <t>Decisione D5</t>
        </is>
      </c>
      <c r="H15" s="22" t="inlineStr">
        <is>
          <t>Nello slice la conoscenza è unione di squadra, senza punti</t>
        </is>
      </c>
    </row>
    <row r="16">
      <c r="A16" s="22" t="inlineStr">
        <is>
          <t>Contatto_Persistenza</t>
        </is>
      </c>
      <c r="B16" s="22" t="inlineStr">
        <is>
          <t>Memoria</t>
        </is>
      </c>
      <c r="C16" s="22" t="n">
        <v>2</v>
      </c>
      <c r="D16" s="22" t="n">
        <v>1</v>
      </c>
      <c r="E16" s="22" t="inlineStr">
        <is>
          <t>turni</t>
        </is>
      </c>
      <c r="F16" s="22" t="inlineStr">
        <is>
          <t>Slice</t>
        </is>
      </c>
      <c r="G16" s="22" t="inlineStr">
        <is>
          <t>Decisione D3</t>
        </is>
      </c>
      <c r="H16" s="22" t="inlineStr">
        <is>
          <t>Durata dell'ultimo contatto prima della scadenza</t>
        </is>
      </c>
    </row>
    <row r="17">
      <c r="A17" s="22" t="inlineStr">
        <is>
          <t>Contatto_Confidence_Decay</t>
        </is>
      </c>
      <c r="B17" s="22" t="inlineStr">
        <is>
          <t>Memoria</t>
        </is>
      </c>
      <c r="C17" s="22" t="n">
        <v>25</v>
      </c>
      <c r="D17" s="22" t="inlineStr">
        <is>
          <t>n/a</t>
        </is>
      </c>
      <c r="E17" s="22" t="inlineStr">
        <is>
          <t>%/turno</t>
        </is>
      </c>
      <c r="F17" s="22" t="inlineStr">
        <is>
          <t>Espansione</t>
        </is>
      </c>
      <c r="G17" s="22" t="inlineStr">
        <is>
          <t>Design visione §11</t>
        </is>
      </c>
      <c r="H17" s="22" t="inlineStr">
        <is>
          <t>Decadimento della certezza sull'ultima posizione</t>
        </is>
      </c>
    </row>
    <row r="18">
      <c r="A18" s="22" t="inlineStr">
        <is>
          <t>Ricalcolo_Cadenza</t>
        </is>
      </c>
      <c r="B18" s="22" t="inlineStr">
        <is>
          <t>Cadenza</t>
        </is>
      </c>
      <c r="C18" s="22" t="inlineStr">
        <is>
          <t>Micro-step</t>
        </is>
      </c>
      <c r="D18" s="22" t="inlineStr">
        <is>
          <t>Confine di fase</t>
        </is>
      </c>
      <c r="E18" s="22" t="inlineStr">
        <is>
          <t>—</t>
        </is>
      </c>
      <c r="F18" s="22" t="inlineStr">
        <is>
          <t>Slice</t>
        </is>
      </c>
      <c r="G18" s="22" t="inlineStr">
        <is>
          <t>Decisione D4</t>
        </is>
      </c>
      <c r="H18" s="22" t="inlineStr">
        <is>
          <t>Prep → Dash → Blast → Move: 4 punti di ricalcolo per turno</t>
        </is>
      </c>
    </row>
    <row r="19">
      <c r="A19" s="22" t="inlineStr">
        <is>
          <t>Visione_Base_Gradi</t>
        </is>
      </c>
      <c r="B19" s="22" t="inlineStr">
        <is>
          <t>Geometria</t>
        </is>
      </c>
      <c r="C19" s="22" t="n">
        <v>360</v>
      </c>
      <c r="D19" s="22" t="n">
        <v>360</v>
      </c>
      <c r="E19" s="22" t="inlineStr">
        <is>
          <t>gradi</t>
        </is>
      </c>
      <c r="F19" s="22" t="inlineStr">
        <is>
          <t>Slice</t>
        </is>
      </c>
      <c r="G19" s="22" t="inlineStr">
        <is>
          <t>Design visione §12</t>
        </is>
      </c>
      <c r="H19" s="22" t="inlineStr">
        <is>
          <t>I coni restano riservati a overwatch e sensori</t>
        </is>
      </c>
    </row>
    <row r="20">
      <c r="A20" s="22" t="inlineStr">
        <is>
          <t>Awareness_Ravvicinata</t>
        </is>
      </c>
      <c r="B20" s="22" t="inlineStr">
        <is>
          <t>Geometria</t>
        </is>
      </c>
      <c r="C20" s="22" t="n">
        <v>2</v>
      </c>
      <c r="D20" s="22" t="n">
        <v>2</v>
      </c>
      <c r="E20" s="22" t="inlineStr">
        <is>
          <t>hex</t>
        </is>
      </c>
      <c r="F20" s="22" t="inlineStr">
        <is>
          <t>Slice</t>
        </is>
      </c>
      <c r="G20" s="22" t="inlineStr">
        <is>
          <t>Design visione §12</t>
        </is>
      </c>
      <c r="H20" s="22" t="inlineStr">
        <is>
          <t>Entro 2 hex la percezione è sempre a 360°</t>
        </is>
      </c>
    </row>
    <row r="21">
      <c r="A21" s="22" t="inlineStr">
        <is>
          <t>Condivisione_Squadra</t>
        </is>
      </c>
      <c r="B21" s="22" t="inlineStr">
        <is>
          <t>Squadra</t>
        </is>
      </c>
      <c r="C21" s="22" t="inlineStr">
        <is>
          <t>Immediata</t>
        </is>
      </c>
      <c r="D21" s="22" t="inlineStr">
        <is>
          <t>Immediata</t>
        </is>
      </c>
      <c r="E21" s="22" t="inlineStr">
        <is>
          <t>—</t>
        </is>
      </c>
      <c r="F21" s="22" t="inlineStr">
        <is>
          <t>Slice</t>
        </is>
      </c>
      <c r="G21" s="22" t="inlineStr">
        <is>
          <t>Decisione D5</t>
        </is>
      </c>
      <c r="H21" s="22" t="inlineStr">
        <is>
          <t>Nessun jamming o relay nel vertical slice</t>
        </is>
      </c>
    </row>
    <row r="22">
      <c r="A22" s="22" t="inlineStr">
        <is>
          <t>Mappa_Statica_Nota</t>
        </is>
      </c>
      <c r="B22" s="22" t="inlineStr">
        <is>
          <t>Squadra</t>
        </is>
      </c>
      <c r="C22" s="22" t="inlineStr">
        <is>
          <t>Sì</t>
        </is>
      </c>
      <c r="D22" s="22" t="inlineStr">
        <is>
          <t>Sì</t>
        </is>
      </c>
      <c r="E22" s="22" t="inlineStr">
        <is>
          <t>—</t>
        </is>
      </c>
      <c r="F22" s="22" t="inlineStr">
        <is>
          <t>Slice</t>
        </is>
      </c>
      <c r="G22" s="22" t="inlineStr">
        <is>
          <t>Design visione §1</t>
        </is>
      </c>
      <c r="H22" s="22" t="inlineStr">
        <is>
          <t>Solo lo stato dinamico è nascosto: non è fog of war</t>
        </is>
      </c>
    </row>
    <row r="23">
      <c r="A23" s="22" t="inlineStr">
        <is>
          <t>Bot_Conoscenza_Parziale</t>
        </is>
      </c>
      <c r="B23" s="22" t="inlineStr">
        <is>
          <t>Bot</t>
        </is>
      </c>
      <c r="C23" s="22" t="inlineStr">
        <is>
          <t>Sì</t>
        </is>
      </c>
      <c r="D23" s="22" t="inlineStr">
        <is>
          <t>Sì</t>
        </is>
      </c>
      <c r="E23" s="22" t="inlineStr">
        <is>
          <t>—</t>
        </is>
      </c>
      <c r="F23" s="22" t="inlineStr">
        <is>
          <t>Slice</t>
        </is>
      </c>
      <c r="G23" s="22" t="inlineStr">
        <is>
          <t>Decisione D6</t>
        </is>
      </c>
      <c r="H23" s="22" t="inlineStr">
        <is>
          <t>Il bot pianifica sulla conoscenza della propria squadra</t>
        </is>
      </c>
    </row>
    <row r="24">
      <c r="A24" s="22" t="inlineStr">
        <is>
          <t>Finestra_Fast_Reaction</t>
        </is>
      </c>
      <c r="B24" s="22" t="inlineStr">
        <is>
          <t>Reazioni</t>
        </is>
      </c>
      <c r="C24" s="22" t="n">
        <v>6</v>
      </c>
      <c r="D24" s="22" t="n">
        <v>0</v>
      </c>
      <c r="E24" s="22" t="inlineStr">
        <is>
          <t>secondi</t>
        </is>
      </c>
      <c r="F24" s="22" t="inlineStr">
        <is>
          <t>Espansione</t>
        </is>
      </c>
      <c r="G24" s="22" t="inlineStr">
        <is>
          <t>Decisione D7</t>
        </is>
      </c>
      <c r="H24" s="22" t="inlineStr">
        <is>
          <t>Nello slice nessuna finestra: trigger OnFirstContact deterministico</t>
        </is>
      </c>
    </row>
    <row r="25">
      <c r="A25" s="22" t="inlineStr">
        <is>
          <t>Reazioni_Per_Turno</t>
        </is>
      </c>
      <c r="B25" s="22" t="inlineStr">
        <is>
          <t>Reazioni</t>
        </is>
      </c>
      <c r="C25" s="22" t="n">
        <v>1</v>
      </c>
      <c r="D25" s="22" t="n">
        <v>1</v>
      </c>
      <c r="E25" s="22" t="inlineStr">
        <is>
          <t>attivazioni</t>
        </is>
      </c>
      <c r="F25" s="22" t="inlineStr">
        <is>
          <t>Slice</t>
        </is>
      </c>
      <c r="G25" s="22" t="inlineStr">
        <is>
          <t>ADR-0003</t>
        </is>
      </c>
      <c r="H25" s="22" t="inlineStr">
        <is>
          <t>Una sola attivazione per modulo per turno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8" customWidth="1" style="58" min="1" max="1"/>
    <col width="15" customWidth="1" style="58" min="2" max="2"/>
    <col width="11" customWidth="1" style="58" min="3" max="3"/>
    <col width="12" customWidth="1" style="58" min="4" max="4"/>
    <col width="11" customWidth="1" style="58" min="5" max="5"/>
    <col width="14" customWidth="1" style="58" min="6" max="6"/>
    <col width="11" customWidth="1" style="58" min="7" max="7"/>
    <col width="11" customWidth="1" style="58" min="8" max="8"/>
    <col width="11" customWidth="1" style="58" min="9" max="9"/>
    <col width="10" customWidth="1" style="58" min="10" max="10"/>
    <col width="10" customWidth="1" style="58" min="11" max="11"/>
    <col width="11" customWidth="1" style="58" min="12" max="12"/>
    <col width="12" customWidth="1" style="58" min="13" max="13"/>
    <col width="16" customWidth="1" style="58" min="14" max="14"/>
    <col width="16" customWidth="1" style="58" min="15" max="15"/>
    <col width="42" customWidth="1" style="58" min="16" max="16"/>
  </cols>
  <sheetData>
    <row r="1" ht="30" customHeight="1" s="58">
      <c r="A1" s="9" t="inlineStr">
        <is>
          <t>Mobilità sul grafo esagonale multilivello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3" ht="34" customHeight="1" s="58">
      <c r="A3" s="14" t="inlineStr">
        <is>
          <t>Hero</t>
        </is>
      </c>
      <c r="B3" s="14" t="inlineStr">
        <is>
          <t>Ruolo</t>
        </is>
      </c>
      <c r="C3" s="14" t="inlineStr">
        <is>
          <t>Move_Hex</t>
        </is>
      </c>
      <c r="D3" s="14" t="inlineStr">
        <is>
          <t>Sprint_Bonus</t>
        </is>
      </c>
      <c r="E3" s="14" t="inlineStr">
        <is>
          <t>Dash_Range</t>
        </is>
      </c>
      <c r="F3" s="14" t="inlineStr">
        <is>
          <t>Verticalità_1_10</t>
        </is>
      </c>
      <c r="G3" s="14" t="inlineStr">
        <is>
          <t>Costo_Acqua</t>
        </is>
      </c>
      <c r="H3" s="14" t="inlineStr">
        <is>
          <t>Costo_Ghiaccio</t>
        </is>
      </c>
      <c r="I3" s="14" t="inlineStr">
        <is>
          <t>Costo_Fango</t>
        </is>
      </c>
      <c r="J3" s="14" t="inlineStr">
        <is>
          <t>Porta_AP</t>
        </is>
      </c>
      <c r="K3" s="14" t="inlineStr">
        <is>
          <t>Ponte_Mod</t>
        </is>
      </c>
      <c r="L3" s="14" t="inlineStr">
        <is>
          <t>Tunnel_Mod</t>
        </is>
      </c>
      <c r="M3" s="14" t="inlineStr">
        <is>
          <t>Ascensore_AP</t>
        </is>
      </c>
      <c r="N3" s="14" t="inlineStr">
        <is>
          <t>Knockback_Resist</t>
        </is>
      </c>
      <c r="O3" s="14" t="inlineStr">
        <is>
          <t>Collision_Priority</t>
        </is>
      </c>
      <c r="P3" s="14" t="inlineStr">
        <is>
          <t>Note</t>
        </is>
      </c>
    </row>
    <row r="4">
      <c r="A4" s="22" t="inlineStr">
        <is>
          <t>Aurora</t>
        </is>
      </c>
      <c r="B4" s="22" t="inlineStr">
        <is>
          <t>Controller</t>
        </is>
      </c>
      <c r="C4" s="22" t="n">
        <v>6</v>
      </c>
      <c r="D4" s="22" t="n">
        <v>1</v>
      </c>
      <c r="E4" s="22" t="n">
        <v>5</v>
      </c>
      <c r="F4" s="22" t="n">
        <v>6</v>
      </c>
      <c r="G4" s="22" t="n">
        <v>2</v>
      </c>
      <c r="H4" s="22" t="n">
        <v>1</v>
      </c>
      <c r="I4" s="22" t="n">
        <v>3</v>
      </c>
      <c r="J4" s="22" t="n">
        <v>1</v>
      </c>
      <c r="K4" s="22" t="n">
        <v>0</v>
      </c>
      <c r="L4" s="22" t="n">
        <v>1</v>
      </c>
      <c r="M4" s="22" t="n">
        <v>1</v>
      </c>
      <c r="N4" s="22" t="n">
        <v>5</v>
      </c>
      <c r="O4" s="22" t="n">
        <v>1</v>
      </c>
      <c r="P4" s="22" t="inlineStr">
        <is>
          <t>Costi interi; A* autorevole; NavMesh solo visualizzazione.</t>
        </is>
      </c>
    </row>
    <row r="5">
      <c r="A5" s="22" t="inlineStr">
        <is>
          <t>Countess</t>
        </is>
      </c>
      <c r="B5" s="22" t="inlineStr">
        <is>
          <t>Infiltrator</t>
        </is>
      </c>
      <c r="C5" s="22" t="n">
        <v>7</v>
      </c>
      <c r="D5" s="22" t="n">
        <v>2</v>
      </c>
      <c r="E5" s="22" t="n">
        <v>5</v>
      </c>
      <c r="F5" s="22" t="n">
        <v>8</v>
      </c>
      <c r="G5" s="22" t="n">
        <v>3</v>
      </c>
      <c r="H5" s="22" t="n">
        <v>2</v>
      </c>
      <c r="I5" s="22" t="n">
        <v>3</v>
      </c>
      <c r="J5" s="22" t="n">
        <v>1</v>
      </c>
      <c r="K5" s="22" t="n">
        <v>0</v>
      </c>
      <c r="L5" s="22" t="n">
        <v>0</v>
      </c>
      <c r="M5" s="22" t="n">
        <v>1</v>
      </c>
      <c r="N5" s="22" t="n">
        <v>2</v>
      </c>
      <c r="O5" s="22" t="n">
        <v>1</v>
      </c>
      <c r="P5" s="22" t="inlineStr">
        <is>
          <t>Costi interi; A* autorevole; NavMesh solo visualizzazione.</t>
        </is>
      </c>
    </row>
    <row r="6">
      <c r="A6" s="22" t="inlineStr">
        <is>
          <t>Crunch</t>
        </is>
      </c>
      <c r="B6" s="22" t="inlineStr">
        <is>
          <t>Bruiser</t>
        </is>
      </c>
      <c r="C6" s="22" t="n">
        <v>5</v>
      </c>
      <c r="D6" s="22" t="n">
        <v>1</v>
      </c>
      <c r="E6" s="22" t="n">
        <v>3</v>
      </c>
      <c r="F6" s="22" t="n">
        <v>4</v>
      </c>
      <c r="G6" s="22" t="n">
        <v>3</v>
      </c>
      <c r="H6" s="22" t="n">
        <v>3</v>
      </c>
      <c r="I6" s="22" t="n">
        <v>2</v>
      </c>
      <c r="J6" s="22" t="n">
        <v>1</v>
      </c>
      <c r="K6" s="22" t="n">
        <v>1</v>
      </c>
      <c r="L6" s="22" t="n">
        <v>0</v>
      </c>
      <c r="M6" s="22" t="n">
        <v>1</v>
      </c>
      <c r="N6" s="22" t="n">
        <v>7</v>
      </c>
      <c r="O6" s="22" t="n">
        <v>2</v>
      </c>
      <c r="P6" s="22" t="inlineStr">
        <is>
          <t>Costi interi; A* autorevole; NavMesh solo visualizzazione.</t>
        </is>
      </c>
    </row>
    <row r="7">
      <c r="A7" s="22" t="inlineStr">
        <is>
          <t>Dekker</t>
        </is>
      </c>
      <c r="B7" s="22" t="inlineStr">
        <is>
          <t>Support</t>
        </is>
      </c>
      <c r="C7" s="22" t="n">
        <v>5</v>
      </c>
      <c r="D7" s="22" t="n">
        <v>1</v>
      </c>
      <c r="E7" s="22" t="n">
        <v>2</v>
      </c>
      <c r="F7" s="22" t="n">
        <v>3</v>
      </c>
      <c r="G7" s="22" t="n">
        <v>3</v>
      </c>
      <c r="H7" s="22" t="n">
        <v>3</v>
      </c>
      <c r="I7" s="22" t="n">
        <v>3</v>
      </c>
      <c r="J7" s="22" t="n">
        <v>1</v>
      </c>
      <c r="K7" s="22" t="n">
        <v>1</v>
      </c>
      <c r="L7" s="22" t="n">
        <v>1</v>
      </c>
      <c r="M7" s="22" t="n">
        <v>1</v>
      </c>
      <c r="N7" s="22" t="n">
        <v>5</v>
      </c>
      <c r="O7" s="22" t="n">
        <v>1</v>
      </c>
      <c r="P7" s="22" t="inlineStr">
        <is>
          <t>Costi interi; A* autorevole; NavMesh solo visualizzazione.</t>
        </is>
      </c>
    </row>
    <row r="8">
      <c r="A8" s="22" t="inlineStr">
        <is>
          <t>Drongo</t>
        </is>
      </c>
      <c r="B8" s="22" t="inlineStr">
        <is>
          <t>Marksman</t>
        </is>
      </c>
      <c r="C8" s="22" t="n">
        <v>5</v>
      </c>
      <c r="D8" s="22" t="n">
        <v>1</v>
      </c>
      <c r="E8" s="22" t="n">
        <v>2</v>
      </c>
      <c r="F8" s="22" t="n">
        <v>3</v>
      </c>
      <c r="G8" s="22" t="n">
        <v>3</v>
      </c>
      <c r="H8" s="22" t="n">
        <v>3</v>
      </c>
      <c r="I8" s="22" t="n">
        <v>3</v>
      </c>
      <c r="J8" s="22" t="n">
        <v>2</v>
      </c>
      <c r="K8" s="22" t="n">
        <v>1</v>
      </c>
      <c r="L8" s="22" t="n">
        <v>1</v>
      </c>
      <c r="M8" s="22" t="n">
        <v>1</v>
      </c>
      <c r="N8" s="22" t="n">
        <v>3</v>
      </c>
      <c r="O8" s="22" t="n">
        <v>1</v>
      </c>
      <c r="P8" s="22" t="inlineStr">
        <is>
          <t>Costi interi; A* autorevole; NavMesh solo visualizzazione.</t>
        </is>
      </c>
    </row>
    <row r="9">
      <c r="A9" s="22" t="inlineStr">
        <is>
          <t>Feng Mao</t>
        </is>
      </c>
      <c r="B9" s="22" t="inlineStr">
        <is>
          <t>Bruiser</t>
        </is>
      </c>
      <c r="C9" s="22" t="n">
        <v>5</v>
      </c>
      <c r="D9" s="22" t="n">
        <v>1</v>
      </c>
      <c r="E9" s="22" t="n">
        <v>3</v>
      </c>
      <c r="F9" s="22" t="n">
        <v>4</v>
      </c>
      <c r="G9" s="22" t="n">
        <v>3</v>
      </c>
      <c r="H9" s="22" t="n">
        <v>3</v>
      </c>
      <c r="I9" s="22" t="n">
        <v>2</v>
      </c>
      <c r="J9" s="22" t="n">
        <v>1</v>
      </c>
      <c r="K9" s="22" t="n">
        <v>1</v>
      </c>
      <c r="L9" s="22" t="n">
        <v>0</v>
      </c>
      <c r="M9" s="22" t="n">
        <v>1</v>
      </c>
      <c r="N9" s="22" t="n">
        <v>7</v>
      </c>
      <c r="O9" s="22" t="n">
        <v>2</v>
      </c>
      <c r="P9" s="22" t="inlineStr">
        <is>
          <t>Costi interi; A* autorevole; NavMesh solo visualizzazione.</t>
        </is>
      </c>
    </row>
    <row r="10">
      <c r="A10" s="22" t="inlineStr">
        <is>
          <t>Gadget</t>
        </is>
      </c>
      <c r="B10" s="22" t="inlineStr">
        <is>
          <t>Controller</t>
        </is>
      </c>
      <c r="C10" s="22" t="n">
        <v>5</v>
      </c>
      <c r="D10" s="22" t="n">
        <v>1</v>
      </c>
      <c r="E10" s="22" t="n">
        <v>2</v>
      </c>
      <c r="F10" s="22" t="n">
        <v>4</v>
      </c>
      <c r="G10" s="22" t="n">
        <v>3</v>
      </c>
      <c r="H10" s="22" t="n">
        <v>3</v>
      </c>
      <c r="I10" s="22" t="n">
        <v>3</v>
      </c>
      <c r="J10" s="22" t="n">
        <v>1</v>
      </c>
      <c r="K10" s="22" t="n">
        <v>1</v>
      </c>
      <c r="L10" s="22" t="n">
        <v>1</v>
      </c>
      <c r="M10" s="22" t="n">
        <v>1</v>
      </c>
      <c r="N10" s="22" t="n">
        <v>5</v>
      </c>
      <c r="O10" s="22" t="n">
        <v>1</v>
      </c>
      <c r="P10" s="22" t="inlineStr">
        <is>
          <t>Costi interi; A* autorevole; NavMesh solo visualizzazione.</t>
        </is>
      </c>
    </row>
    <row r="11">
      <c r="A11" s="22" t="inlineStr">
        <is>
          <t>Gideon</t>
        </is>
      </c>
      <c r="B11" s="22" t="inlineStr">
        <is>
          <t>Controller</t>
        </is>
      </c>
      <c r="C11" s="22" t="n">
        <v>5</v>
      </c>
      <c r="D11" s="22" t="n">
        <v>1</v>
      </c>
      <c r="E11" s="22" t="n">
        <v>2</v>
      </c>
      <c r="F11" s="22" t="n">
        <v>4</v>
      </c>
      <c r="G11" s="22" t="n">
        <v>3</v>
      </c>
      <c r="H11" s="22" t="n">
        <v>3</v>
      </c>
      <c r="I11" s="22" t="n">
        <v>3</v>
      </c>
      <c r="J11" s="22" t="n">
        <v>1</v>
      </c>
      <c r="K11" s="22" t="n">
        <v>1</v>
      </c>
      <c r="L11" s="22" t="n">
        <v>1</v>
      </c>
      <c r="M11" s="22" t="n">
        <v>1</v>
      </c>
      <c r="N11" s="22" t="n">
        <v>5</v>
      </c>
      <c r="O11" s="22" t="n">
        <v>1</v>
      </c>
      <c r="P11" s="22" t="inlineStr">
        <is>
          <t>Costi interi; A* autorevole; NavMesh solo visualizzazione.</t>
        </is>
      </c>
    </row>
    <row r="12">
      <c r="A12" s="22" t="inlineStr">
        <is>
          <t>Greystone</t>
        </is>
      </c>
      <c r="B12" s="22" t="inlineStr">
        <is>
          <t>Guardian</t>
        </is>
      </c>
      <c r="C12" s="22" t="n">
        <v>4</v>
      </c>
      <c r="D12" s="22" t="n">
        <v>1</v>
      </c>
      <c r="E12" s="22" t="n">
        <v>2</v>
      </c>
      <c r="F12" s="22" t="n">
        <v>3</v>
      </c>
      <c r="G12" s="22" t="n">
        <v>3</v>
      </c>
      <c r="H12" s="22" t="n">
        <v>3</v>
      </c>
      <c r="I12" s="22" t="n">
        <v>2</v>
      </c>
      <c r="J12" s="22" t="n">
        <v>1</v>
      </c>
      <c r="K12" s="22" t="n">
        <v>1</v>
      </c>
      <c r="L12" s="22" t="n">
        <v>1</v>
      </c>
      <c r="M12" s="22" t="n">
        <v>1</v>
      </c>
      <c r="N12" s="22" t="n">
        <v>10</v>
      </c>
      <c r="O12" s="22" t="n">
        <v>3</v>
      </c>
      <c r="P12" s="22" t="inlineStr">
        <is>
          <t>Costi interi; A* autorevole; NavMesh solo visualizzazione.</t>
        </is>
      </c>
    </row>
    <row r="13">
      <c r="A13" s="22" t="inlineStr">
        <is>
          <t>GRIM.exe</t>
        </is>
      </c>
      <c r="B13" s="22" t="inlineStr">
        <is>
          <t>Marksman</t>
        </is>
      </c>
      <c r="C13" s="22" t="n">
        <v>5</v>
      </c>
      <c r="D13" s="22" t="n">
        <v>1</v>
      </c>
      <c r="E13" s="22" t="n">
        <v>2</v>
      </c>
      <c r="F13" s="22" t="n">
        <v>3</v>
      </c>
      <c r="G13" s="22" t="n">
        <v>3</v>
      </c>
      <c r="H13" s="22" t="n">
        <v>3</v>
      </c>
      <c r="I13" s="22" t="n">
        <v>3</v>
      </c>
      <c r="J13" s="22" t="n">
        <v>2</v>
      </c>
      <c r="K13" s="22" t="n">
        <v>1</v>
      </c>
      <c r="L13" s="22" t="n">
        <v>1</v>
      </c>
      <c r="M13" s="22" t="n">
        <v>1</v>
      </c>
      <c r="N13" s="22" t="n">
        <v>3</v>
      </c>
      <c r="O13" s="22" t="n">
        <v>1</v>
      </c>
      <c r="P13" s="22" t="inlineStr">
        <is>
          <t>Costi interi; A* autorevole; NavMesh solo visualizzazione.</t>
        </is>
      </c>
    </row>
    <row r="14">
      <c r="A14" s="22" t="inlineStr">
        <is>
          <t>Grux</t>
        </is>
      </c>
      <c r="B14" s="22" t="inlineStr">
        <is>
          <t>Bruiser</t>
        </is>
      </c>
      <c r="C14" s="22" t="n">
        <v>5</v>
      </c>
      <c r="D14" s="22" t="n">
        <v>1</v>
      </c>
      <c r="E14" s="22" t="n">
        <v>3</v>
      </c>
      <c r="F14" s="22" t="n">
        <v>4</v>
      </c>
      <c r="G14" s="22" t="n">
        <v>3</v>
      </c>
      <c r="H14" s="22" t="n">
        <v>3</v>
      </c>
      <c r="I14" s="22" t="n">
        <v>2</v>
      </c>
      <c r="J14" s="22" t="n">
        <v>1</v>
      </c>
      <c r="K14" s="22" t="n">
        <v>1</v>
      </c>
      <c r="L14" s="22" t="n">
        <v>0</v>
      </c>
      <c r="M14" s="22" t="n">
        <v>1</v>
      </c>
      <c r="N14" s="22" t="n">
        <v>7</v>
      </c>
      <c r="O14" s="22" t="n">
        <v>2</v>
      </c>
      <c r="P14" s="22" t="inlineStr">
        <is>
          <t>Costi interi; A* autorevole; NavMesh solo visualizzazione.</t>
        </is>
      </c>
    </row>
    <row r="15">
      <c r="A15" s="22" t="inlineStr">
        <is>
          <t>Howitzer</t>
        </is>
      </c>
      <c r="B15" s="22" t="inlineStr">
        <is>
          <t>Controller</t>
        </is>
      </c>
      <c r="C15" s="22" t="n">
        <v>5</v>
      </c>
      <c r="D15" s="22" t="n">
        <v>1</v>
      </c>
      <c r="E15" s="22" t="n">
        <v>2</v>
      </c>
      <c r="F15" s="22" t="n">
        <v>4</v>
      </c>
      <c r="G15" s="22" t="n">
        <v>3</v>
      </c>
      <c r="H15" s="22" t="n">
        <v>3</v>
      </c>
      <c r="I15" s="22" t="n">
        <v>3</v>
      </c>
      <c r="J15" s="22" t="n">
        <v>1</v>
      </c>
      <c r="K15" s="22" t="n">
        <v>1</v>
      </c>
      <c r="L15" s="22" t="n">
        <v>1</v>
      </c>
      <c r="M15" s="22" t="n">
        <v>1</v>
      </c>
      <c r="N15" s="22" t="n">
        <v>5</v>
      </c>
      <c r="O15" s="22" t="n">
        <v>1</v>
      </c>
      <c r="P15" s="22" t="inlineStr">
        <is>
          <t>Costi interi; A* autorevole; NavMesh solo visualizzazione.</t>
        </is>
      </c>
    </row>
    <row r="16">
      <c r="A16" s="22" t="inlineStr">
        <is>
          <t>Iggy &amp; Scorch</t>
        </is>
      </c>
      <c r="B16" s="22" t="inlineStr">
        <is>
          <t>Controller</t>
        </is>
      </c>
      <c r="C16" s="22" t="n">
        <v>5</v>
      </c>
      <c r="D16" s="22" t="n">
        <v>1</v>
      </c>
      <c r="E16" s="22" t="n">
        <v>2</v>
      </c>
      <c r="F16" s="22" t="n">
        <v>4</v>
      </c>
      <c r="G16" s="22" t="n">
        <v>3</v>
      </c>
      <c r="H16" s="22" t="n">
        <v>3</v>
      </c>
      <c r="I16" s="22" t="n">
        <v>3</v>
      </c>
      <c r="J16" s="22" t="n">
        <v>1</v>
      </c>
      <c r="K16" s="22" t="n">
        <v>1</v>
      </c>
      <c r="L16" s="22" t="n">
        <v>1</v>
      </c>
      <c r="M16" s="22" t="n">
        <v>1</v>
      </c>
      <c r="N16" s="22" t="n">
        <v>5</v>
      </c>
      <c r="O16" s="22" t="n">
        <v>1</v>
      </c>
      <c r="P16" s="22" t="inlineStr">
        <is>
          <t>Costi interi; A* autorevole; NavMesh solo visualizzazione.</t>
        </is>
      </c>
    </row>
    <row r="17">
      <c r="A17" s="22" t="inlineStr">
        <is>
          <t>Kallari</t>
        </is>
      </c>
      <c r="B17" s="22" t="inlineStr">
        <is>
          <t>Infiltrator</t>
        </is>
      </c>
      <c r="C17" s="22" t="n">
        <v>8</v>
      </c>
      <c r="D17" s="22" t="n">
        <v>2</v>
      </c>
      <c r="E17" s="22" t="n">
        <v>5</v>
      </c>
      <c r="F17" s="22" t="n">
        <v>10</v>
      </c>
      <c r="G17" s="22" t="n">
        <v>3</v>
      </c>
      <c r="H17" s="22" t="n">
        <v>2</v>
      </c>
      <c r="I17" s="22" t="n">
        <v>3</v>
      </c>
      <c r="J17" s="22" t="n">
        <v>1</v>
      </c>
      <c r="K17" s="22" t="n">
        <v>0</v>
      </c>
      <c r="L17" s="22" t="n">
        <v>0</v>
      </c>
      <c r="M17" s="22" t="n">
        <v>1</v>
      </c>
      <c r="N17" s="22" t="n">
        <v>2</v>
      </c>
      <c r="O17" s="22" t="n">
        <v>1</v>
      </c>
      <c r="P17" s="22" t="inlineStr">
        <is>
          <t>Costi interi; A* autorevole; NavMesh solo visualizzazione.</t>
        </is>
      </c>
    </row>
    <row r="18">
      <c r="A18" s="22" t="inlineStr">
        <is>
          <t>Khaimera</t>
        </is>
      </c>
      <c r="B18" s="22" t="inlineStr">
        <is>
          <t>Bruiser</t>
        </is>
      </c>
      <c r="C18" s="22" t="n">
        <v>5</v>
      </c>
      <c r="D18" s="22" t="n">
        <v>1</v>
      </c>
      <c r="E18" s="22" t="n">
        <v>3</v>
      </c>
      <c r="F18" s="22" t="n">
        <v>4</v>
      </c>
      <c r="G18" s="22" t="n">
        <v>3</v>
      </c>
      <c r="H18" s="22" t="n">
        <v>3</v>
      </c>
      <c r="I18" s="22" t="n">
        <v>2</v>
      </c>
      <c r="J18" s="22" t="n">
        <v>1</v>
      </c>
      <c r="K18" s="22" t="n">
        <v>1</v>
      </c>
      <c r="L18" s="22" t="n">
        <v>0</v>
      </c>
      <c r="M18" s="22" t="n">
        <v>1</v>
      </c>
      <c r="N18" s="22" t="n">
        <v>7</v>
      </c>
      <c r="O18" s="22" t="n">
        <v>2</v>
      </c>
      <c r="P18" s="22" t="inlineStr">
        <is>
          <t>Costi interi; A* autorevole; NavMesh solo visualizzazione.</t>
        </is>
      </c>
    </row>
    <row r="19">
      <c r="A19" s="22" t="inlineStr">
        <is>
          <t>Kwang</t>
        </is>
      </c>
      <c r="B19" s="22" t="inlineStr">
        <is>
          <t>Bruiser</t>
        </is>
      </c>
      <c r="C19" s="22" t="n">
        <v>6</v>
      </c>
      <c r="D19" s="22" t="n">
        <v>1</v>
      </c>
      <c r="E19" s="22" t="n">
        <v>4</v>
      </c>
      <c r="F19" s="22" t="n">
        <v>4</v>
      </c>
      <c r="G19" s="22" t="n">
        <v>2</v>
      </c>
      <c r="H19" s="22" t="n">
        <v>3</v>
      </c>
      <c r="I19" s="22" t="n">
        <v>2</v>
      </c>
      <c r="J19" s="22" t="n">
        <v>1</v>
      </c>
      <c r="K19" s="22" t="n">
        <v>1</v>
      </c>
      <c r="L19" s="22" t="n">
        <v>0</v>
      </c>
      <c r="M19" s="22" t="n">
        <v>1</v>
      </c>
      <c r="N19" s="22" t="n">
        <v>7</v>
      </c>
      <c r="O19" s="22" t="n">
        <v>2</v>
      </c>
      <c r="P19" s="22" t="inlineStr">
        <is>
          <t>Costi interi; A* autorevole; NavMesh solo visualizzazione.</t>
        </is>
      </c>
    </row>
    <row r="20">
      <c r="A20" s="22" t="inlineStr">
        <is>
          <t>Lt. Belica</t>
        </is>
      </c>
      <c r="B20" s="22" t="inlineStr">
        <is>
          <t>Controller</t>
        </is>
      </c>
      <c r="C20" s="22" t="n">
        <v>5</v>
      </c>
      <c r="D20" s="22" t="n">
        <v>1</v>
      </c>
      <c r="E20" s="22" t="n">
        <v>2</v>
      </c>
      <c r="F20" s="22" t="n">
        <v>4</v>
      </c>
      <c r="G20" s="22" t="n">
        <v>3</v>
      </c>
      <c r="H20" s="22" t="n">
        <v>3</v>
      </c>
      <c r="I20" s="22" t="n">
        <v>3</v>
      </c>
      <c r="J20" s="22" t="n">
        <v>1</v>
      </c>
      <c r="K20" s="22" t="n">
        <v>1</v>
      </c>
      <c r="L20" s="22" t="n">
        <v>1</v>
      </c>
      <c r="M20" s="22" t="n">
        <v>1</v>
      </c>
      <c r="N20" s="22" t="n">
        <v>5</v>
      </c>
      <c r="O20" s="22" t="n">
        <v>1</v>
      </c>
      <c r="P20" s="22" t="inlineStr">
        <is>
          <t>Costi interi; A* autorevole; NavMesh solo visualizzazione.</t>
        </is>
      </c>
    </row>
    <row r="21">
      <c r="A21" s="22" t="inlineStr">
        <is>
          <t>Morigesh</t>
        </is>
      </c>
      <c r="B21" s="22" t="inlineStr">
        <is>
          <t>Controller</t>
        </is>
      </c>
      <c r="C21" s="22" t="n">
        <v>5</v>
      </c>
      <c r="D21" s="22" t="n">
        <v>1</v>
      </c>
      <c r="E21" s="22" t="n">
        <v>2</v>
      </c>
      <c r="F21" s="22" t="n">
        <v>4</v>
      </c>
      <c r="G21" s="22" t="n">
        <v>3</v>
      </c>
      <c r="H21" s="22" t="n">
        <v>3</v>
      </c>
      <c r="I21" s="22" t="n">
        <v>3</v>
      </c>
      <c r="J21" s="22" t="n">
        <v>1</v>
      </c>
      <c r="K21" s="22" t="n">
        <v>1</v>
      </c>
      <c r="L21" s="22" t="n">
        <v>1</v>
      </c>
      <c r="M21" s="22" t="n">
        <v>1</v>
      </c>
      <c r="N21" s="22" t="n">
        <v>5</v>
      </c>
      <c r="O21" s="22" t="n">
        <v>1</v>
      </c>
      <c r="P21" s="22" t="inlineStr">
        <is>
          <t>Costi interi; A* autorevole; NavMesh solo visualizzazione.</t>
        </is>
      </c>
    </row>
    <row r="22">
      <c r="A22" s="22" t="inlineStr">
        <is>
          <t>Murdock</t>
        </is>
      </c>
      <c r="B22" s="22" t="inlineStr">
        <is>
          <t>Marksman</t>
        </is>
      </c>
      <c r="C22" s="22" t="n">
        <v>5</v>
      </c>
      <c r="D22" s="22" t="n">
        <v>1</v>
      </c>
      <c r="E22" s="22" t="n">
        <v>2</v>
      </c>
      <c r="F22" s="22" t="n">
        <v>3</v>
      </c>
      <c r="G22" s="22" t="n">
        <v>3</v>
      </c>
      <c r="H22" s="22" t="n">
        <v>3</v>
      </c>
      <c r="I22" s="22" t="n">
        <v>3</v>
      </c>
      <c r="J22" s="22" t="n">
        <v>2</v>
      </c>
      <c r="K22" s="22" t="n">
        <v>1</v>
      </c>
      <c r="L22" s="22" t="n">
        <v>1</v>
      </c>
      <c r="M22" s="22" t="n">
        <v>1</v>
      </c>
      <c r="N22" s="22" t="n">
        <v>3</v>
      </c>
      <c r="O22" s="22" t="n">
        <v>1</v>
      </c>
      <c r="P22" s="22" t="inlineStr">
        <is>
          <t>Costi interi; A* autorevole; NavMesh solo visualizzazione.</t>
        </is>
      </c>
    </row>
    <row r="23">
      <c r="A23" s="22" t="inlineStr">
        <is>
          <t>Muriel</t>
        </is>
      </c>
      <c r="B23" s="22" t="inlineStr">
        <is>
          <t>Support</t>
        </is>
      </c>
      <c r="C23" s="22" t="n">
        <v>5</v>
      </c>
      <c r="D23" s="22" t="n">
        <v>1</v>
      </c>
      <c r="E23" s="22" t="n">
        <v>2</v>
      </c>
      <c r="F23" s="22" t="n">
        <v>3</v>
      </c>
      <c r="G23" s="22" t="n">
        <v>2</v>
      </c>
      <c r="H23" s="22" t="n">
        <v>3</v>
      </c>
      <c r="I23" s="22" t="n">
        <v>3</v>
      </c>
      <c r="J23" s="22" t="n">
        <v>1</v>
      </c>
      <c r="K23" s="22" t="n">
        <v>1</v>
      </c>
      <c r="L23" s="22" t="n">
        <v>1</v>
      </c>
      <c r="M23" s="22" t="n">
        <v>1</v>
      </c>
      <c r="N23" s="22" t="n">
        <v>5</v>
      </c>
      <c r="O23" s="22" t="n">
        <v>1</v>
      </c>
      <c r="P23" s="22" t="inlineStr">
        <is>
          <t>Costi interi; A* autorevole; NavMesh solo visualizzazione.</t>
        </is>
      </c>
    </row>
    <row r="24">
      <c r="A24" s="22" t="inlineStr">
        <is>
          <t>Narbash</t>
        </is>
      </c>
      <c r="B24" s="22" t="inlineStr">
        <is>
          <t>Support</t>
        </is>
      </c>
      <c r="C24" s="22" t="n">
        <v>5</v>
      </c>
      <c r="D24" s="22" t="n">
        <v>1</v>
      </c>
      <c r="E24" s="22" t="n">
        <v>2</v>
      </c>
      <c r="F24" s="22" t="n">
        <v>3</v>
      </c>
      <c r="G24" s="22" t="n">
        <v>3</v>
      </c>
      <c r="H24" s="22" t="n">
        <v>3</v>
      </c>
      <c r="I24" s="22" t="n">
        <v>3</v>
      </c>
      <c r="J24" s="22" t="n">
        <v>1</v>
      </c>
      <c r="K24" s="22" t="n">
        <v>1</v>
      </c>
      <c r="L24" s="22" t="n">
        <v>1</v>
      </c>
      <c r="M24" s="22" t="n">
        <v>1</v>
      </c>
      <c r="N24" s="22" t="n">
        <v>5</v>
      </c>
      <c r="O24" s="22" t="n">
        <v>1</v>
      </c>
      <c r="P24" s="22" t="inlineStr">
        <is>
          <t>Costi interi; A* autorevole; NavMesh solo visualizzazione.</t>
        </is>
      </c>
    </row>
    <row r="25">
      <c r="A25" s="22" t="inlineStr">
        <is>
          <t>Phase</t>
        </is>
      </c>
      <c r="B25" s="22" t="inlineStr">
        <is>
          <t>Support</t>
        </is>
      </c>
      <c r="C25" s="22" t="n">
        <v>5</v>
      </c>
      <c r="D25" s="22" t="n">
        <v>1</v>
      </c>
      <c r="E25" s="22" t="n">
        <v>2</v>
      </c>
      <c r="F25" s="22" t="n">
        <v>3</v>
      </c>
      <c r="G25" s="22" t="n">
        <v>3</v>
      </c>
      <c r="H25" s="22" t="n">
        <v>3</v>
      </c>
      <c r="I25" s="22" t="n">
        <v>3</v>
      </c>
      <c r="J25" s="22" t="n">
        <v>1</v>
      </c>
      <c r="K25" s="22" t="n">
        <v>1</v>
      </c>
      <c r="L25" s="22" t="n">
        <v>1</v>
      </c>
      <c r="M25" s="22" t="n">
        <v>1</v>
      </c>
      <c r="N25" s="22" t="n">
        <v>5</v>
      </c>
      <c r="O25" s="22" t="n">
        <v>1</v>
      </c>
      <c r="P25" s="22" t="inlineStr">
        <is>
          <t>Costi interi; A* autorevole; NavMesh solo visualizzazione.</t>
        </is>
      </c>
    </row>
    <row r="26">
      <c r="A26" s="22" t="inlineStr">
        <is>
          <t>Rampage</t>
        </is>
      </c>
      <c r="B26" s="22" t="inlineStr">
        <is>
          <t>Guardian</t>
        </is>
      </c>
      <c r="C26" s="22" t="n">
        <v>4</v>
      </c>
      <c r="D26" s="22" t="n">
        <v>1</v>
      </c>
      <c r="E26" s="22" t="n">
        <v>5</v>
      </c>
      <c r="F26" s="22" t="n">
        <v>8</v>
      </c>
      <c r="G26" s="22" t="n">
        <v>3</v>
      </c>
      <c r="H26" s="22" t="n">
        <v>3</v>
      </c>
      <c r="I26" s="22" t="n">
        <v>2</v>
      </c>
      <c r="J26" s="22" t="n">
        <v>1</v>
      </c>
      <c r="K26" s="22" t="n">
        <v>0</v>
      </c>
      <c r="L26" s="22" t="n">
        <v>1</v>
      </c>
      <c r="M26" s="22" t="n">
        <v>1</v>
      </c>
      <c r="N26" s="22" t="n">
        <v>10</v>
      </c>
      <c r="O26" s="22" t="n">
        <v>3</v>
      </c>
      <c r="P26" s="22" t="inlineStr">
        <is>
          <t>Costi interi; A* autorevole; NavMesh solo visualizzazione.</t>
        </is>
      </c>
    </row>
    <row r="27">
      <c r="A27" s="22" t="inlineStr">
        <is>
          <t>Revenant</t>
        </is>
      </c>
      <c r="B27" s="22" t="inlineStr">
        <is>
          <t>Marksman</t>
        </is>
      </c>
      <c r="C27" s="22" t="n">
        <v>5</v>
      </c>
      <c r="D27" s="22" t="n">
        <v>1</v>
      </c>
      <c r="E27" s="22" t="n">
        <v>2</v>
      </c>
      <c r="F27" s="22" t="n">
        <v>3</v>
      </c>
      <c r="G27" s="22" t="n">
        <v>3</v>
      </c>
      <c r="H27" s="22" t="n">
        <v>3</v>
      </c>
      <c r="I27" s="22" t="n">
        <v>3</v>
      </c>
      <c r="J27" s="22" t="n">
        <v>2</v>
      </c>
      <c r="K27" s="22" t="n">
        <v>1</v>
      </c>
      <c r="L27" s="22" t="n">
        <v>1</v>
      </c>
      <c r="M27" s="22" t="n">
        <v>1</v>
      </c>
      <c r="N27" s="22" t="n">
        <v>3</v>
      </c>
      <c r="O27" s="22" t="n">
        <v>1</v>
      </c>
      <c r="P27" s="22" t="inlineStr">
        <is>
          <t>Costi interi; A* autorevole; NavMesh solo visualizzazione.</t>
        </is>
      </c>
    </row>
    <row r="28">
      <c r="A28" s="22" t="inlineStr">
        <is>
          <t>Riktor</t>
        </is>
      </c>
      <c r="B28" s="22" t="inlineStr">
        <is>
          <t>Guardian</t>
        </is>
      </c>
      <c r="C28" s="22" t="n">
        <v>4</v>
      </c>
      <c r="D28" s="22" t="n">
        <v>1</v>
      </c>
      <c r="E28" s="22" t="n">
        <v>2</v>
      </c>
      <c r="F28" s="22" t="n">
        <v>3</v>
      </c>
      <c r="G28" s="22" t="n">
        <v>3</v>
      </c>
      <c r="H28" s="22" t="n">
        <v>3</v>
      </c>
      <c r="I28" s="22" t="n">
        <v>2</v>
      </c>
      <c r="J28" s="22" t="n">
        <v>1</v>
      </c>
      <c r="K28" s="22" t="n">
        <v>1</v>
      </c>
      <c r="L28" s="22" t="n">
        <v>1</v>
      </c>
      <c r="M28" s="22" t="n">
        <v>1</v>
      </c>
      <c r="N28" s="22" t="n">
        <v>10</v>
      </c>
      <c r="O28" s="22" t="n">
        <v>3</v>
      </c>
      <c r="P28" s="22" t="inlineStr">
        <is>
          <t>Costi interi; A* autorevole; NavMesh solo visualizzazione.</t>
        </is>
      </c>
    </row>
    <row r="29">
      <c r="A29" s="22" t="inlineStr">
        <is>
          <t>Serath</t>
        </is>
      </c>
      <c r="B29" s="22" t="inlineStr">
        <is>
          <t>Striker</t>
        </is>
      </c>
      <c r="C29" s="22" t="n">
        <v>6</v>
      </c>
      <c r="D29" s="22" t="n">
        <v>2</v>
      </c>
      <c r="E29" s="22" t="n">
        <v>4</v>
      </c>
      <c r="F29" s="22" t="n">
        <v>6</v>
      </c>
      <c r="G29" s="22" t="n">
        <v>3</v>
      </c>
      <c r="H29" s="22" t="n">
        <v>2</v>
      </c>
      <c r="I29" s="22" t="n">
        <v>3</v>
      </c>
      <c r="J29" s="22" t="n">
        <v>1</v>
      </c>
      <c r="K29" s="22" t="n">
        <v>0</v>
      </c>
      <c r="L29" s="22" t="n">
        <v>1</v>
      </c>
      <c r="M29" s="22" t="n">
        <v>1</v>
      </c>
      <c r="N29" s="22" t="n">
        <v>4</v>
      </c>
      <c r="O29" s="22" t="n">
        <v>1</v>
      </c>
      <c r="P29" s="22" t="inlineStr">
        <is>
          <t>Costi interi; A* autorevole; NavMesh solo visualizzazione.</t>
        </is>
      </c>
    </row>
    <row r="30">
      <c r="A30" s="22" t="inlineStr">
        <is>
          <t>Sevarog</t>
        </is>
      </c>
      <c r="B30" s="22" t="inlineStr">
        <is>
          <t>Guardian</t>
        </is>
      </c>
      <c r="C30" s="22" t="n">
        <v>4</v>
      </c>
      <c r="D30" s="22" t="n">
        <v>1</v>
      </c>
      <c r="E30" s="22" t="n">
        <v>2</v>
      </c>
      <c r="F30" s="22" t="n">
        <v>3</v>
      </c>
      <c r="G30" s="22" t="n">
        <v>3</v>
      </c>
      <c r="H30" s="22" t="n">
        <v>3</v>
      </c>
      <c r="I30" s="22" t="n">
        <v>2</v>
      </c>
      <c r="J30" s="22" t="n">
        <v>1</v>
      </c>
      <c r="K30" s="22" t="n">
        <v>1</v>
      </c>
      <c r="L30" s="22" t="n">
        <v>1</v>
      </c>
      <c r="M30" s="22" t="n">
        <v>1</v>
      </c>
      <c r="N30" s="22" t="n">
        <v>10</v>
      </c>
      <c r="O30" s="22" t="n">
        <v>3</v>
      </c>
      <c r="P30" s="22" t="inlineStr">
        <is>
          <t>Costi interi; A* autorevole; NavMesh solo visualizzazione.</t>
        </is>
      </c>
    </row>
    <row r="31">
      <c r="A31" s="22" t="inlineStr">
        <is>
          <t>Shinbi</t>
        </is>
      </c>
      <c r="B31" s="22" t="inlineStr">
        <is>
          <t>Striker</t>
        </is>
      </c>
      <c r="C31" s="22" t="n">
        <v>6</v>
      </c>
      <c r="D31" s="22" t="n">
        <v>2</v>
      </c>
      <c r="E31" s="22" t="n">
        <v>4</v>
      </c>
      <c r="F31" s="22" t="n">
        <v>6</v>
      </c>
      <c r="G31" s="22" t="n">
        <v>3</v>
      </c>
      <c r="H31" s="22" t="n">
        <v>2</v>
      </c>
      <c r="I31" s="22" t="n">
        <v>3</v>
      </c>
      <c r="J31" s="22" t="n">
        <v>1</v>
      </c>
      <c r="K31" s="22" t="n">
        <v>0</v>
      </c>
      <c r="L31" s="22" t="n">
        <v>1</v>
      </c>
      <c r="M31" s="22" t="n">
        <v>1</v>
      </c>
      <c r="N31" s="22" t="n">
        <v>4</v>
      </c>
      <c r="O31" s="22" t="n">
        <v>1</v>
      </c>
      <c r="P31" s="22" t="inlineStr">
        <is>
          <t>Costi interi; A* autorevole; NavMesh solo visualizzazione.</t>
        </is>
      </c>
    </row>
    <row r="32">
      <c r="A32" s="22" t="inlineStr">
        <is>
          <t>Sparrow</t>
        </is>
      </c>
      <c r="B32" s="22" t="inlineStr">
        <is>
          <t>Marksman</t>
        </is>
      </c>
      <c r="C32" s="22" t="n">
        <v>5</v>
      </c>
      <c r="D32" s="22" t="n">
        <v>1</v>
      </c>
      <c r="E32" s="22" t="n">
        <v>2</v>
      </c>
      <c r="F32" s="22" t="n">
        <v>3</v>
      </c>
      <c r="G32" s="22" t="n">
        <v>3</v>
      </c>
      <c r="H32" s="22" t="n">
        <v>3</v>
      </c>
      <c r="I32" s="22" t="n">
        <v>3</v>
      </c>
      <c r="J32" s="22" t="n">
        <v>2</v>
      </c>
      <c r="K32" s="22" t="n">
        <v>1</v>
      </c>
      <c r="L32" s="22" t="n">
        <v>1</v>
      </c>
      <c r="M32" s="22" t="n">
        <v>1</v>
      </c>
      <c r="N32" s="22" t="n">
        <v>3</v>
      </c>
      <c r="O32" s="22" t="n">
        <v>1</v>
      </c>
      <c r="P32" s="22" t="inlineStr">
        <is>
          <t>Costi interi; A* autorevole; NavMesh solo visualizzazione.</t>
        </is>
      </c>
    </row>
    <row r="33">
      <c r="A33" s="22" t="inlineStr">
        <is>
          <t>Steel</t>
        </is>
      </c>
      <c r="B33" s="22" t="inlineStr">
        <is>
          <t>Guardian</t>
        </is>
      </c>
      <c r="C33" s="22" t="n">
        <v>4</v>
      </c>
      <c r="D33" s="22" t="n">
        <v>1</v>
      </c>
      <c r="E33" s="22" t="n">
        <v>2</v>
      </c>
      <c r="F33" s="22" t="n">
        <v>3</v>
      </c>
      <c r="G33" s="22" t="n">
        <v>3</v>
      </c>
      <c r="H33" s="22" t="n">
        <v>3</v>
      </c>
      <c r="I33" s="22" t="n">
        <v>2</v>
      </c>
      <c r="J33" s="22" t="n">
        <v>1</v>
      </c>
      <c r="K33" s="22" t="n">
        <v>1</v>
      </c>
      <c r="L33" s="22" t="n">
        <v>1</v>
      </c>
      <c r="M33" s="22" t="n">
        <v>1</v>
      </c>
      <c r="N33" s="22" t="n">
        <v>10</v>
      </c>
      <c r="O33" s="22" t="n">
        <v>3</v>
      </c>
      <c r="P33" s="22" t="inlineStr">
        <is>
          <t>Costi interi; A* autorevole; NavMesh solo visualizzazione.</t>
        </is>
      </c>
    </row>
    <row r="34">
      <c r="A34" s="22" t="inlineStr">
        <is>
          <t>Terra</t>
        </is>
      </c>
      <c r="B34" s="22" t="inlineStr">
        <is>
          <t>Guardian</t>
        </is>
      </c>
      <c r="C34" s="22" t="n">
        <v>4</v>
      </c>
      <c r="D34" s="22" t="n">
        <v>1</v>
      </c>
      <c r="E34" s="22" t="n">
        <v>2</v>
      </c>
      <c r="F34" s="22" t="n">
        <v>3</v>
      </c>
      <c r="G34" s="22" t="n">
        <v>3</v>
      </c>
      <c r="H34" s="22" t="n">
        <v>3</v>
      </c>
      <c r="I34" s="22" t="n">
        <v>2</v>
      </c>
      <c r="J34" s="22" t="n">
        <v>1</v>
      </c>
      <c r="K34" s="22" t="n">
        <v>1</v>
      </c>
      <c r="L34" s="22" t="n">
        <v>1</v>
      </c>
      <c r="M34" s="22" t="n">
        <v>1</v>
      </c>
      <c r="N34" s="22" t="n">
        <v>9</v>
      </c>
      <c r="O34" s="22" t="n">
        <v>3</v>
      </c>
      <c r="P34" s="22" t="inlineStr">
        <is>
          <t>Costi interi; A* autorevole; NavMesh solo visualizzazione.</t>
        </is>
      </c>
    </row>
    <row r="35">
      <c r="A35" s="22" t="inlineStr">
        <is>
          <t>The Fey</t>
        </is>
      </c>
      <c r="B35" s="22" t="inlineStr">
        <is>
          <t>Controller</t>
        </is>
      </c>
      <c r="C35" s="22" t="n">
        <v>5</v>
      </c>
      <c r="D35" s="22" t="n">
        <v>1</v>
      </c>
      <c r="E35" s="22" t="n">
        <v>2</v>
      </c>
      <c r="F35" s="22" t="n">
        <v>4</v>
      </c>
      <c r="G35" s="22" t="n">
        <v>3</v>
      </c>
      <c r="H35" s="22" t="n">
        <v>3</v>
      </c>
      <c r="I35" s="22" t="n">
        <v>3</v>
      </c>
      <c r="J35" s="22" t="n">
        <v>1</v>
      </c>
      <c r="K35" s="22" t="n">
        <v>1</v>
      </c>
      <c r="L35" s="22" t="n">
        <v>1</v>
      </c>
      <c r="M35" s="22" t="n">
        <v>1</v>
      </c>
      <c r="N35" s="22" t="n">
        <v>5</v>
      </c>
      <c r="O35" s="22" t="n">
        <v>1</v>
      </c>
      <c r="P35" s="22" t="inlineStr">
        <is>
          <t>Costi interi; A* autorevole; NavMesh solo visualizzazione.</t>
        </is>
      </c>
    </row>
    <row r="36">
      <c r="A36" s="22" t="inlineStr">
        <is>
          <t>TwinBlast</t>
        </is>
      </c>
      <c r="B36" s="22" t="inlineStr">
        <is>
          <t>Marksman</t>
        </is>
      </c>
      <c r="C36" s="22" t="n">
        <v>5</v>
      </c>
      <c r="D36" s="22" t="n">
        <v>1</v>
      </c>
      <c r="E36" s="22" t="n">
        <v>2</v>
      </c>
      <c r="F36" s="22" t="n">
        <v>3</v>
      </c>
      <c r="G36" s="22" t="n">
        <v>3</v>
      </c>
      <c r="H36" s="22" t="n">
        <v>3</v>
      </c>
      <c r="I36" s="22" t="n">
        <v>3</v>
      </c>
      <c r="J36" s="22" t="n">
        <v>2</v>
      </c>
      <c r="K36" s="22" t="n">
        <v>1</v>
      </c>
      <c r="L36" s="22" t="n">
        <v>1</v>
      </c>
      <c r="M36" s="22" t="n">
        <v>1</v>
      </c>
      <c r="N36" s="22" t="n">
        <v>3</v>
      </c>
      <c r="O36" s="22" t="n">
        <v>1</v>
      </c>
      <c r="P36" s="22" t="inlineStr">
        <is>
          <t>Costi interi; A* autorevole; NavMesh solo visualizzazione.</t>
        </is>
      </c>
    </row>
    <row r="37">
      <c r="A37" s="22" t="inlineStr">
        <is>
          <t>Wraith</t>
        </is>
      </c>
      <c r="B37" s="22" t="inlineStr">
        <is>
          <t>Infiltrator</t>
        </is>
      </c>
      <c r="C37" s="22" t="n">
        <v>7</v>
      </c>
      <c r="D37" s="22" t="n">
        <v>2</v>
      </c>
      <c r="E37" s="22" t="n">
        <v>5</v>
      </c>
      <c r="F37" s="22" t="n">
        <v>8</v>
      </c>
      <c r="G37" s="22" t="n">
        <v>3</v>
      </c>
      <c r="H37" s="22" t="n">
        <v>2</v>
      </c>
      <c r="I37" s="22" t="n">
        <v>3</v>
      </c>
      <c r="J37" s="22" t="n">
        <v>1</v>
      </c>
      <c r="K37" s="22" t="n">
        <v>0</v>
      </c>
      <c r="L37" s="22" t="n">
        <v>0</v>
      </c>
      <c r="M37" s="22" t="n">
        <v>1</v>
      </c>
      <c r="N37" s="22" t="n">
        <v>2</v>
      </c>
      <c r="O37" s="22" t="n">
        <v>1</v>
      </c>
      <c r="P37" s="22" t="inlineStr">
        <is>
          <t>Costi interi; A* autorevole; NavMesh solo visualizzazione.</t>
        </is>
      </c>
    </row>
    <row r="38">
      <c r="A38" s="22" t="inlineStr">
        <is>
          <t>Wukong</t>
        </is>
      </c>
      <c r="B38" s="22" t="inlineStr">
        <is>
          <t>Bruiser</t>
        </is>
      </c>
      <c r="C38" s="22" t="n">
        <v>5</v>
      </c>
      <c r="D38" s="22" t="n">
        <v>1</v>
      </c>
      <c r="E38" s="22" t="n">
        <v>3</v>
      </c>
      <c r="F38" s="22" t="n">
        <v>4</v>
      </c>
      <c r="G38" s="22" t="n">
        <v>3</v>
      </c>
      <c r="H38" s="22" t="n">
        <v>3</v>
      </c>
      <c r="I38" s="22" t="n">
        <v>2</v>
      </c>
      <c r="J38" s="22" t="n">
        <v>1</v>
      </c>
      <c r="K38" s="22" t="n">
        <v>1</v>
      </c>
      <c r="L38" s="22" t="n">
        <v>0</v>
      </c>
      <c r="M38" s="22" t="n">
        <v>1</v>
      </c>
      <c r="N38" s="22" t="n">
        <v>7</v>
      </c>
      <c r="O38" s="22" t="n">
        <v>2</v>
      </c>
      <c r="P38" s="22" t="inlineStr">
        <is>
          <t>Costi interi; A* autorevole; NavMesh solo visualizzazione.</t>
        </is>
      </c>
    </row>
    <row r="39">
      <c r="A39" s="22" t="inlineStr">
        <is>
          <t>Yin</t>
        </is>
      </c>
      <c r="B39" s="22" t="inlineStr">
        <is>
          <t>Striker</t>
        </is>
      </c>
      <c r="C39" s="22" t="n">
        <v>6</v>
      </c>
      <c r="D39" s="22" t="n">
        <v>2</v>
      </c>
      <c r="E39" s="22" t="n">
        <v>4</v>
      </c>
      <c r="F39" s="22" t="n">
        <v>6</v>
      </c>
      <c r="G39" s="22" t="n">
        <v>3</v>
      </c>
      <c r="H39" s="22" t="n">
        <v>2</v>
      </c>
      <c r="I39" s="22" t="n">
        <v>3</v>
      </c>
      <c r="J39" s="22" t="n">
        <v>1</v>
      </c>
      <c r="K39" s="22" t="n">
        <v>0</v>
      </c>
      <c r="L39" s="22" t="n">
        <v>1</v>
      </c>
      <c r="M39" s="22" t="n">
        <v>1</v>
      </c>
      <c r="N39" s="22" t="n">
        <v>4</v>
      </c>
      <c r="O39" s="22" t="n">
        <v>1</v>
      </c>
      <c r="P39" s="22" t="inlineStr">
        <is>
          <t>Costi interi; A* autorevole; NavMesh solo visualizzazione.</t>
        </is>
      </c>
    </row>
    <row r="40">
      <c r="A40" s="22" t="inlineStr">
        <is>
          <t>Zinx</t>
        </is>
      </c>
      <c r="B40" s="22" t="inlineStr">
        <is>
          <t>Support</t>
        </is>
      </c>
      <c r="C40" s="22" t="n">
        <v>5</v>
      </c>
      <c r="D40" s="22" t="n">
        <v>1</v>
      </c>
      <c r="E40" s="22" t="n">
        <v>2</v>
      </c>
      <c r="F40" s="22" t="n">
        <v>3</v>
      </c>
      <c r="G40" s="22" t="n">
        <v>3</v>
      </c>
      <c r="H40" s="22" t="n">
        <v>3</v>
      </c>
      <c r="I40" s="22" t="n">
        <v>3</v>
      </c>
      <c r="J40" s="22" t="n">
        <v>1</v>
      </c>
      <c r="K40" s="22" t="n">
        <v>1</v>
      </c>
      <c r="L40" s="22" t="n">
        <v>1</v>
      </c>
      <c r="M40" s="22" t="n">
        <v>1</v>
      </c>
      <c r="N40" s="22" t="n">
        <v>5</v>
      </c>
      <c r="O40" s="22" t="n">
        <v>1</v>
      </c>
      <c r="P40" s="22" t="inlineStr">
        <is>
          <t>Costi interi; A* autorevole; NavMesh solo visualizzazione.</t>
        </is>
      </c>
    </row>
    <row r="41">
      <c r="A41" s="22" t="inlineStr">
        <is>
          <t>Boris</t>
        </is>
      </c>
      <c r="B41" s="22" t="inlineStr">
        <is>
          <t>Bruiser</t>
        </is>
      </c>
      <c r="C41" s="22" t="n">
        <v>6</v>
      </c>
      <c r="D41" s="22" t="n">
        <v>1</v>
      </c>
      <c r="E41" s="22" t="n">
        <v>3</v>
      </c>
      <c r="F41" s="22" t="n">
        <v>4</v>
      </c>
      <c r="G41" s="22" t="n">
        <v>3</v>
      </c>
      <c r="H41" s="22" t="n">
        <v>3</v>
      </c>
      <c r="I41" s="22" t="n">
        <v>2</v>
      </c>
      <c r="J41" s="22" t="n">
        <v>1</v>
      </c>
      <c r="K41" s="22" t="n">
        <v>1</v>
      </c>
      <c r="L41" s="22" t="n">
        <v>0</v>
      </c>
      <c r="M41" s="22" t="n">
        <v>1</v>
      </c>
      <c r="N41" s="22" t="n">
        <v>7</v>
      </c>
      <c r="O41" s="22" t="n">
        <v>2</v>
      </c>
      <c r="P41" s="22" t="inlineStr">
        <is>
          <t>Costi interi; A* autorevole; NavMesh solo visualizzazione.</t>
        </is>
      </c>
    </row>
    <row r="42">
      <c r="A42" s="22" t="inlineStr">
        <is>
          <t>Flux</t>
        </is>
      </c>
      <c r="B42" s="22" t="inlineStr">
        <is>
          <t>Controller</t>
        </is>
      </c>
      <c r="C42" s="22" t="n">
        <v>5</v>
      </c>
      <c r="D42" s="22" t="n">
        <v>1</v>
      </c>
      <c r="E42" s="22" t="n">
        <v>3</v>
      </c>
      <c r="F42" s="22" t="n">
        <v>3</v>
      </c>
      <c r="G42" s="22" t="n">
        <v>2</v>
      </c>
      <c r="H42" s="22" t="n">
        <v>1</v>
      </c>
      <c r="I42" s="22" t="n">
        <v>2</v>
      </c>
      <c r="J42" s="22" t="n">
        <v>1</v>
      </c>
      <c r="K42" s="22" t="n">
        <v>0</v>
      </c>
      <c r="L42" s="22" t="n">
        <v>0</v>
      </c>
      <c r="M42" s="22" t="n">
        <v>1</v>
      </c>
      <c r="N42" s="22" t="n">
        <v>0</v>
      </c>
      <c r="O42" s="22" t="n">
        <v>1</v>
      </c>
      <c r="P42" s="22" t="inlineStr">
        <is>
          <t>MP e resistenza push dal catalogo .md; Dash 3 come da catalogo azioni</t>
        </is>
      </c>
    </row>
    <row r="43">
      <c r="A43" s="22" t="inlineStr">
        <is>
          <t>Riva</t>
        </is>
      </c>
      <c r="B43" s="22" t="inlineStr">
        <is>
          <t>Support</t>
        </is>
      </c>
      <c r="C43" s="22" t="n">
        <v>5</v>
      </c>
      <c r="D43" s="22" t="n">
        <v>1</v>
      </c>
      <c r="E43" s="22" t="n">
        <v>3</v>
      </c>
      <c r="F43" s="22" t="n">
        <v>3</v>
      </c>
      <c r="G43" s="22" t="n">
        <v>2</v>
      </c>
      <c r="H43" s="22" t="n">
        <v>1</v>
      </c>
      <c r="I43" s="22" t="n">
        <v>2</v>
      </c>
      <c r="J43" s="22" t="n">
        <v>1</v>
      </c>
      <c r="K43" s="22" t="n">
        <v>0</v>
      </c>
      <c r="L43" s="22" t="n">
        <v>0</v>
      </c>
      <c r="M43" s="22" t="n">
        <v>1</v>
      </c>
      <c r="N43" s="22" t="n">
        <v>0</v>
      </c>
      <c r="O43" s="22" t="n">
        <v>1</v>
      </c>
      <c r="P43" s="22" t="inlineStr">
        <is>
          <t>MP e resistenza push dal catalogo .md; Dash 3 come da catalogo azioni</t>
        </is>
      </c>
    </row>
    <row r="44">
      <c r="A44" s="22" t="inlineStr">
        <is>
          <t>Bastion</t>
        </is>
      </c>
      <c r="B44" s="22" t="inlineStr">
        <is>
          <t>Guardian</t>
        </is>
      </c>
      <c r="C44" s="22" t="n">
        <v>4</v>
      </c>
      <c r="D44" s="22" t="n">
        <v>1</v>
      </c>
      <c r="E44" s="22" t="n">
        <v>3</v>
      </c>
      <c r="F44" s="22" t="n">
        <v>3</v>
      </c>
      <c r="G44" s="22" t="n">
        <v>2</v>
      </c>
      <c r="H44" s="22" t="n">
        <v>1</v>
      </c>
      <c r="I44" s="22" t="n">
        <v>2</v>
      </c>
      <c r="J44" s="22" t="n">
        <v>1</v>
      </c>
      <c r="K44" s="22" t="n">
        <v>0</v>
      </c>
      <c r="L44" s="22" t="n">
        <v>0</v>
      </c>
      <c r="M44" s="22" t="n">
        <v>1</v>
      </c>
      <c r="N44" s="22" t="n">
        <v>1</v>
      </c>
      <c r="O44" s="22" t="n">
        <v>1</v>
      </c>
      <c r="P44" s="22" t="inlineStr">
        <is>
          <t>MP e resistenza push dal catalogo .md; Dash 3 come da catalogo azioni</t>
        </is>
      </c>
    </row>
    <row r="45">
      <c r="A45" s="22" t="inlineStr">
        <is>
          <t>Vektor</t>
        </is>
      </c>
      <c r="B45" s="22" t="inlineStr">
        <is>
          <t>Striker</t>
        </is>
      </c>
      <c r="C45" s="22" t="n">
        <v>6</v>
      </c>
      <c r="D45" s="22" t="n">
        <v>1</v>
      </c>
      <c r="E45" s="22" t="n">
        <v>3</v>
      </c>
      <c r="F45" s="22" t="n">
        <v>3</v>
      </c>
      <c r="G45" s="22" t="n">
        <v>2</v>
      </c>
      <c r="H45" s="22" t="n">
        <v>1</v>
      </c>
      <c r="I45" s="22" t="n">
        <v>2</v>
      </c>
      <c r="J45" s="22" t="n">
        <v>1</v>
      </c>
      <c r="K45" s="22" t="n">
        <v>0</v>
      </c>
      <c r="L45" s="22" t="n">
        <v>0</v>
      </c>
      <c r="M45" s="22" t="n">
        <v>1</v>
      </c>
      <c r="N45" s="22" t="n">
        <v>0</v>
      </c>
      <c r="O45" s="22" t="n">
        <v>1</v>
      </c>
      <c r="P45" s="22" t="inlineStr">
        <is>
          <t>MP e resistenza push dal catalogo .md; Dash 3 come da catalogo azioni</t>
        </is>
      </c>
    </row>
  </sheetData>
  <mergeCells count="1">
    <mergeCell ref="A1:P1"/>
  </mergeCells>
  <conditionalFormatting sqref="C4:C4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4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4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N4:N4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20" customWidth="1" style="58" min="1" max="1"/>
    <col width="14" customWidth="1" style="58" min="2" max="2"/>
    <col width="24" customWidth="1" style="58" min="3" max="3"/>
    <col width="18" customWidth="1" style="58" min="4" max="4"/>
    <col width="10" customWidth="1" style="58" min="5" max="5"/>
    <col width="14" customWidth="1" style="58" min="6" max="6"/>
    <col width="15" customWidth="1" style="58" min="7" max="7"/>
    <col width="11" customWidth="1" style="58" min="8" max="8"/>
    <col width="11" customWidth="1" style="58" min="9" max="9"/>
    <col width="12" customWidth="1" style="58" min="10" max="10"/>
    <col width="16" customWidth="1" style="58" min="11" max="11"/>
    <col width="13" customWidth="1" style="58" min="12" max="12"/>
    <col width="24" customWidth="1" style="58" min="13" max="13"/>
    <col width="43" customWidth="1" style="58" min="14" max="14"/>
    <col width="33" customWidth="1" style="58" min="15" max="15"/>
    <col width="26" customWidth="1" style="58" min="16" max="16"/>
    <col width="26" customWidth="1" style="58" min="17" max="17"/>
    <col width="26" customWidth="1" style="58" min="18" max="18"/>
    <col width="26" customWidth="1" style="58" min="19" max="19"/>
    <col width="26" customWidth="1" style="58" min="20" max="20"/>
  </cols>
  <sheetData>
    <row r="1" ht="30" customHeight="1" s="58">
      <c r="A1" s="9" t="inlineStr">
        <is>
          <t>Abilità del vertical slice — 4 personaggi × 4 abilità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 ht="34" customHeight="1" s="58">
      <c r="A3" s="14" t="inlineStr">
        <is>
          <t>Ability_ID</t>
        </is>
      </c>
      <c r="B3" s="14" t="inlineStr">
        <is>
          <t>Hero</t>
        </is>
      </c>
      <c r="C3" s="14" t="inlineStr">
        <is>
          <t>Nome</t>
        </is>
      </c>
      <c r="D3" s="14" t="inlineStr">
        <is>
          <t>Categoria</t>
        </is>
      </c>
      <c r="E3" s="14" t="inlineStr">
        <is>
          <t>Priorità</t>
        </is>
      </c>
      <c r="F3" s="14" t="inlineStr">
        <is>
          <t>Costo_Risorsa</t>
        </is>
      </c>
      <c r="G3" s="14" t="inlineStr">
        <is>
          <t>Cooldown_Turni</t>
        </is>
      </c>
      <c r="H3" s="14" t="inlineStr">
        <is>
          <t>Range_Hex</t>
        </is>
      </c>
      <c r="I3" s="14" t="inlineStr">
        <is>
          <t>AoE_Radius</t>
        </is>
      </c>
      <c r="J3" s="14" t="inlineStr">
        <is>
          <t>Danno_Base</t>
        </is>
      </c>
      <c r="K3" s="14" t="inlineStr">
        <is>
          <t>Control_Strength</t>
        </is>
      </c>
      <c r="L3" s="14" t="inlineStr">
        <is>
          <t>Durata_Turni</t>
        </is>
      </c>
      <c r="M3" s="14" t="inlineStr">
        <is>
          <t>Loss_Contact_Policy</t>
        </is>
      </c>
      <c r="N3" s="14" t="inlineStr">
        <is>
          <t>Interazione_Terreno</t>
        </is>
      </c>
      <c r="O3" s="14" t="inlineStr">
        <is>
          <t>Gameplay_Tags</t>
        </is>
      </c>
      <c r="P3" s="14" t="inlineStr">
        <is>
          <t>Requires_Contact</t>
        </is>
      </c>
      <c r="Q3" s="14" t="inlineStr">
        <is>
          <t>Reveals_Self</t>
        </is>
      </c>
      <c r="R3" s="14" t="inlineStr">
        <is>
          <t>Firma_Mod</t>
        </is>
      </c>
      <c r="S3" s="14" t="inlineStr">
        <is>
          <t>Vision_Effect</t>
        </is>
      </c>
      <c r="T3" s="14" t="inlineStr">
        <is>
          <t>Scope_v0.1</t>
        </is>
      </c>
    </row>
    <row r="4">
      <c r="A4" s="22" t="inlineStr">
        <is>
          <t>ABL_FLUX_01</t>
        </is>
      </c>
      <c r="B4" s="22" t="inlineStr">
        <is>
          <t>Flux</t>
        </is>
      </c>
      <c r="C4" s="22" t="inlineStr">
        <is>
          <t>Impulso ad arco</t>
        </is>
      </c>
      <c r="D4" s="22" t="inlineStr">
        <is>
          <t>Attacco base</t>
        </is>
      </c>
      <c r="E4" s="22" t="n">
        <v>50</v>
      </c>
      <c r="F4" s="22" t="n">
        <v>1</v>
      </c>
      <c r="G4" s="22" t="n">
        <v>0</v>
      </c>
      <c r="H4" s="22" t="n">
        <v>4</v>
      </c>
      <c r="I4" s="22" t="n">
        <v>0</v>
      </c>
      <c r="J4" s="22" t="n">
        <v>22</v>
      </c>
      <c r="K4" s="22" t="n">
        <v>0</v>
      </c>
      <c r="L4" s="22" t="n">
        <v>0</v>
      </c>
      <c r="M4" s="22" t="inlineStr">
        <is>
          <t>Cancel</t>
        </is>
      </c>
      <c r="N4" s="22" t="inlineStr">
        <is>
          <t>Nessuna</t>
        </is>
      </c>
      <c r="O4" s="22" t="inlineStr">
        <is>
          <t>Ability.Offense.Electric</t>
        </is>
      </c>
      <c r="P4" s="22" t="inlineStr">
        <is>
          <t>Rilevato</t>
        </is>
      </c>
      <c r="Q4" s="22" t="inlineStr">
        <is>
          <t>Posizione</t>
        </is>
      </c>
      <c r="R4" s="22" t="n">
        <v>8</v>
      </c>
      <c r="S4" s="22" t="inlineStr">
        <is>
          <t>—</t>
        </is>
      </c>
      <c r="T4" s="22" t="inlineStr">
        <is>
          <t>Slice</t>
        </is>
      </c>
    </row>
    <row r="5">
      <c r="A5" s="22" t="inlineStr">
        <is>
          <t>ABL_FLUX_02</t>
        </is>
      </c>
      <c r="B5" s="22" t="inlineStr">
        <is>
          <t>Flux</t>
        </is>
      </c>
      <c r="C5" s="22" t="inlineStr">
        <is>
          <t>Scarica lineare</t>
        </is>
      </c>
      <c r="D5" s="22" t="inlineStr">
        <is>
          <t>Attacco lineare</t>
        </is>
      </c>
      <c r="E5" s="22" t="n">
        <v>55</v>
      </c>
      <c r="F5" s="22" t="n">
        <v>1</v>
      </c>
      <c r="G5" s="22" t="n">
        <v>2</v>
      </c>
      <c r="H5" s="22" t="n">
        <v>5</v>
      </c>
      <c r="I5" s="22" t="n">
        <v>0</v>
      </c>
      <c r="J5" s="22" t="n">
        <v>24</v>
      </c>
      <c r="K5" s="22" t="n">
        <v>0</v>
      </c>
      <c r="L5" s="22" t="n">
        <v>0</v>
      </c>
      <c r="M5" s="22" t="inlineStr">
        <is>
          <t>ContinueAlongPlannedLine</t>
        </is>
      </c>
      <c r="N5" s="22" t="inlineStr">
        <is>
          <t>+8 su bersaglio Wet</t>
        </is>
      </c>
      <c r="O5" s="22" t="inlineStr">
        <is>
          <t>Ability.Offense.Electric</t>
        </is>
      </c>
      <c r="P5" s="22" t="inlineStr">
        <is>
          <t>Rilevato</t>
        </is>
      </c>
      <c r="Q5" s="22" t="inlineStr">
        <is>
          <t>Posizione</t>
        </is>
      </c>
      <c r="R5" s="22" t="n">
        <v>8</v>
      </c>
      <c r="S5" s="22" t="inlineStr">
        <is>
          <t>—</t>
        </is>
      </c>
      <c r="T5" s="22" t="inlineStr">
        <is>
          <t>Slice</t>
        </is>
      </c>
    </row>
    <row r="6">
      <c r="A6" s="22" t="inlineStr">
        <is>
          <t>ABL_FLUX_03</t>
        </is>
      </c>
      <c r="B6" s="22" t="inlineStr">
        <is>
          <t>Flux</t>
        </is>
      </c>
      <c r="C6" s="22" t="inlineStr">
        <is>
          <t>Nodo conduttore</t>
        </is>
      </c>
      <c r="D6" s="22" t="inlineStr">
        <is>
          <t>Terreno</t>
        </is>
      </c>
      <c r="E6" s="22" t="n">
        <v>40</v>
      </c>
      <c r="F6" s="22" t="n">
        <v>1</v>
      </c>
      <c r="G6" s="22" t="n">
        <v>2</v>
      </c>
      <c r="H6" s="22" t="n">
        <v>4</v>
      </c>
      <c r="I6" s="22" t="n">
        <v>0</v>
      </c>
      <c r="J6" s="22" t="n">
        <v>0</v>
      </c>
      <c r="K6" s="22" t="n">
        <v>0</v>
      </c>
      <c r="L6" s="22" t="n">
        <v>2</v>
      </c>
      <c r="M6" s="22" t="inlineStr">
        <is>
          <t>FireAtLastKnownCell</t>
        </is>
      </c>
      <c r="N6" s="22" t="inlineStr">
        <is>
          <t>Rende la cella conduttiva 2 turni</t>
        </is>
      </c>
      <c r="O6" s="22" t="inlineStr">
        <is>
          <t>Ability.Terrain.Conductive</t>
        </is>
      </c>
      <c r="P6" s="22" t="inlineStr">
        <is>
          <t>Nessuno</t>
        </is>
      </c>
      <c r="Q6" s="22" t="inlineStr">
        <is>
          <t>Direzione</t>
        </is>
      </c>
      <c r="R6" s="22" t="n">
        <v>4</v>
      </c>
      <c r="S6" s="22" t="inlineStr">
        <is>
          <t>—</t>
        </is>
      </c>
      <c r="T6" s="22" t="inlineStr">
        <is>
          <t>Slice</t>
        </is>
      </c>
    </row>
    <row r="7">
      <c r="A7" s="22" t="inlineStr">
        <is>
          <t>ABL_FLUX_04</t>
        </is>
      </c>
      <c r="B7" s="22" t="inlineStr">
        <is>
          <t>Flux</t>
        </is>
      </c>
      <c r="C7" s="22" t="inlineStr">
        <is>
          <t>Sovraccarico</t>
        </is>
      </c>
      <c r="D7" s="22" t="inlineStr">
        <is>
          <t>AoE controllo</t>
        </is>
      </c>
      <c r="E7" s="22" t="n">
        <v>65</v>
      </c>
      <c r="F7" s="22" t="n">
        <v>1</v>
      </c>
      <c r="G7" s="22" t="n">
        <v>3</v>
      </c>
      <c r="H7" s="22" t="n">
        <v>4</v>
      </c>
      <c r="I7" s="22" t="n">
        <v>1</v>
      </c>
      <c r="J7" s="22" t="n">
        <v>18</v>
      </c>
      <c r="K7" s="22" t="n">
        <v>1</v>
      </c>
      <c r="L7" s="22" t="n">
        <v>0</v>
      </c>
      <c r="M7" s="22" t="inlineStr">
        <is>
          <t>FireAtLastKnownCell</t>
        </is>
      </c>
      <c r="N7" s="22" t="inlineStr">
        <is>
          <t>Interrupt sui dispositivi</t>
        </is>
      </c>
      <c r="O7" s="22" t="inlineStr">
        <is>
          <t>Ability.Control.AOE</t>
        </is>
      </c>
      <c r="P7" s="22" t="inlineStr">
        <is>
          <t>Nessuno</t>
        </is>
      </c>
      <c r="Q7" s="22" t="inlineStr">
        <is>
          <t>Direzione</t>
        </is>
      </c>
      <c r="R7" s="22" t="n">
        <v>9</v>
      </c>
      <c r="S7" s="22" t="inlineStr">
        <is>
          <t>—</t>
        </is>
      </c>
      <c r="T7" s="22" t="inlineStr">
        <is>
          <t>Slice</t>
        </is>
      </c>
    </row>
    <row r="8">
      <c r="A8" s="22" t="inlineStr">
        <is>
          <t>ABL_RIVA_01</t>
        </is>
      </c>
      <c r="B8" s="22" t="inlineStr">
        <is>
          <t>Riva</t>
        </is>
      </c>
      <c r="C8" s="22" t="inlineStr">
        <is>
          <t>Getto pressurizzato</t>
        </is>
      </c>
      <c r="D8" s="22" t="inlineStr">
        <is>
          <t>Attacco lineare</t>
        </is>
      </c>
      <c r="E8" s="22" t="n">
        <v>55</v>
      </c>
      <c r="F8" s="22" t="n">
        <v>1</v>
      </c>
      <c r="G8" s="22" t="n">
        <v>0</v>
      </c>
      <c r="H8" s="22" t="n">
        <v>5</v>
      </c>
      <c r="I8" s="22" t="n">
        <v>0</v>
      </c>
      <c r="J8" s="22" t="n">
        <v>16</v>
      </c>
      <c r="K8" s="22" t="n">
        <v>1</v>
      </c>
      <c r="L8" s="22" t="n">
        <v>0</v>
      </c>
      <c r="M8" s="22" t="inlineStr">
        <is>
          <t>ContinueAlongPlannedLine</t>
        </is>
      </c>
      <c r="N8" s="22" t="inlineStr">
        <is>
          <t>Applica Wet; Push 1</t>
        </is>
      </c>
      <c r="O8" s="22" t="inlineStr">
        <is>
          <t>Ability.Offense.Water</t>
        </is>
      </c>
      <c r="P8" s="22" t="inlineStr">
        <is>
          <t>Rilevato</t>
        </is>
      </c>
      <c r="Q8" s="22" t="inlineStr">
        <is>
          <t>Posizione</t>
        </is>
      </c>
      <c r="R8" s="22" t="n">
        <v>7</v>
      </c>
      <c r="S8" s="22" t="inlineStr">
        <is>
          <t>—</t>
        </is>
      </c>
      <c r="T8" s="22" t="inlineStr">
        <is>
          <t>Slice</t>
        </is>
      </c>
    </row>
    <row r="9">
      <c r="A9" s="22" t="inlineStr">
        <is>
          <t>ABL_RIVA_02</t>
        </is>
      </c>
      <c r="B9" s="22" t="inlineStr">
        <is>
          <t>Riva</t>
        </is>
      </c>
      <c r="C9" s="22" t="inlineStr">
        <is>
          <t>Marea circolare</t>
        </is>
      </c>
      <c r="D9" s="22" t="inlineStr">
        <is>
          <t>AoE supporto</t>
        </is>
      </c>
      <c r="E9" s="22" t="n">
        <v>70</v>
      </c>
      <c r="F9" s="22" t="n">
        <v>1</v>
      </c>
      <c r="G9" s="22" t="n">
        <v>2</v>
      </c>
      <c r="H9" s="22" t="n">
        <v>4</v>
      </c>
      <c r="I9" s="22" t="n">
        <v>1</v>
      </c>
      <c r="J9" s="22" t="n">
        <v>0</v>
      </c>
      <c r="K9" s="22" t="n">
        <v>0</v>
      </c>
      <c r="L9" s="22" t="n">
        <v>0</v>
      </c>
      <c r="M9" s="22" t="inlineStr">
        <is>
          <t>FireAtLastKnownCell</t>
        </is>
      </c>
      <c r="N9" s="22" t="inlineStr">
        <is>
          <t>Cura 18 alleati; Wet ai nemici</t>
        </is>
      </c>
      <c r="O9" s="22" t="inlineStr">
        <is>
          <t>Ability.Support.AOE</t>
        </is>
      </c>
      <c r="P9" s="22" t="inlineStr">
        <is>
          <t>Nessuno</t>
        </is>
      </c>
      <c r="Q9" s="22" t="inlineStr">
        <is>
          <t>Direzione</t>
        </is>
      </c>
      <c r="R9" s="22" t="n">
        <v>6</v>
      </c>
      <c r="S9" s="22" t="inlineStr">
        <is>
          <t>—</t>
        </is>
      </c>
      <c r="T9" s="22" t="inlineStr">
        <is>
          <t>Slice</t>
        </is>
      </c>
    </row>
    <row r="10">
      <c r="A10" s="22" t="inlineStr">
        <is>
          <t>ABL_RIVA_03</t>
        </is>
      </c>
      <c r="B10" s="22" t="inlineStr">
        <is>
          <t>Riva</t>
        </is>
      </c>
      <c r="C10" s="22" t="inlineStr">
        <is>
          <t>Scia fluida</t>
        </is>
      </c>
      <c r="D10" s="22" t="inlineStr">
        <is>
          <t>Dash</t>
        </is>
      </c>
      <c r="E10" s="22" t="n">
        <v>60</v>
      </c>
      <c r="F10" s="22" t="n">
        <v>1</v>
      </c>
      <c r="G10" s="22" t="n">
        <v>2</v>
      </c>
      <c r="H10" s="22" t="n">
        <v>3</v>
      </c>
      <c r="I10" s="22" t="n">
        <v>0</v>
      </c>
      <c r="J10" s="22" t="n">
        <v>0</v>
      </c>
      <c r="K10" s="22" t="n">
        <v>0</v>
      </c>
      <c r="L10" s="22" t="n">
        <v>1</v>
      </c>
      <c r="M10" s="22" t="inlineStr">
        <is>
          <t>PersistOnCell</t>
        </is>
      </c>
      <c r="N10" s="22" t="inlineStr">
        <is>
          <t>Dash 3; crea acqua sul percorso</t>
        </is>
      </c>
      <c r="O10" s="22" t="inlineStr">
        <is>
          <t>Ability.Mobility.Dash</t>
        </is>
      </c>
      <c r="P10" s="22" t="inlineStr">
        <is>
          <t>Nessuno</t>
        </is>
      </c>
      <c r="Q10" s="22" t="inlineStr">
        <is>
          <t>No</t>
        </is>
      </c>
      <c r="R10" s="22" t="n">
        <v>5</v>
      </c>
      <c r="S10" s="22" t="inlineStr">
        <is>
          <t>—</t>
        </is>
      </c>
      <c r="T10" s="22" t="inlineStr">
        <is>
          <t>Slice</t>
        </is>
      </c>
    </row>
    <row r="11">
      <c r="A11" s="22" t="inlineStr">
        <is>
          <t>ABL_RIVA_04</t>
        </is>
      </c>
      <c r="B11" s="22" t="inlineStr">
        <is>
          <t>Riva</t>
        </is>
      </c>
      <c r="C11" s="22" t="inlineStr">
        <is>
          <t>Velo di nebbia</t>
        </is>
      </c>
      <c r="D11" s="22" t="inlineStr">
        <is>
          <t>Visione</t>
        </is>
      </c>
      <c r="E11" s="22" t="n">
        <v>65</v>
      </c>
      <c r="F11" s="22" t="n">
        <v>1</v>
      </c>
      <c r="G11" s="22" t="n">
        <v>3</v>
      </c>
      <c r="H11" s="22" t="n">
        <v>4</v>
      </c>
      <c r="I11" s="22" t="n">
        <v>1</v>
      </c>
      <c r="J11" s="22" t="n">
        <v>0</v>
      </c>
      <c r="K11" s="22" t="n">
        <v>0</v>
      </c>
      <c r="L11" s="22" t="n">
        <v>2</v>
      </c>
      <c r="M11" s="22" t="inlineStr">
        <is>
          <t>PersistOnArea</t>
        </is>
      </c>
      <c r="N11" s="22" t="inlineStr">
        <is>
          <t>Crea fumo raggio 1</t>
        </is>
      </c>
      <c r="O11" s="22" t="inlineStr">
        <is>
          <t>Ability.Vision.Obscure</t>
        </is>
      </c>
      <c r="P11" s="22" t="inlineStr">
        <is>
          <t>Nessuno</t>
        </is>
      </c>
      <c r="Q11" s="22" t="inlineStr">
        <is>
          <t>No</t>
        </is>
      </c>
      <c r="R11" s="22" t="n">
        <v>-10</v>
      </c>
      <c r="S11" s="22" t="inlineStr">
        <is>
          <t>Fumo r1: Ident -30, cap contatto 2</t>
        </is>
      </c>
      <c r="T11" s="22" t="inlineStr">
        <is>
          <t>Slice</t>
        </is>
      </c>
    </row>
    <row r="12">
      <c r="A12" s="22" t="inlineStr">
        <is>
          <t>ABL_BASTION_01</t>
        </is>
      </c>
      <c r="B12" s="22" t="inlineStr">
        <is>
          <t>Bastion</t>
        </is>
      </c>
      <c r="C12" s="22" t="inlineStr">
        <is>
          <t>Colpo cinetico</t>
        </is>
      </c>
      <c r="D12" s="22" t="inlineStr">
        <is>
          <t>Attacco base</t>
        </is>
      </c>
      <c r="E12" s="22" t="n">
        <v>50</v>
      </c>
      <c r="F12" s="22" t="n">
        <v>1</v>
      </c>
      <c r="G12" s="22" t="n">
        <v>0</v>
      </c>
      <c r="H12" s="22" t="n">
        <v>3</v>
      </c>
      <c r="I12" s="22" t="n">
        <v>0</v>
      </c>
      <c r="J12" s="22" t="n">
        <v>24</v>
      </c>
      <c r="K12" s="22" t="n">
        <v>0</v>
      </c>
      <c r="L12" s="22" t="n">
        <v>0</v>
      </c>
      <c r="M12" s="22" t="inlineStr">
        <is>
          <t>Cancel</t>
        </is>
      </c>
      <c r="N12" s="22" t="inlineStr">
        <is>
          <t>Nessuna</t>
        </is>
      </c>
      <c r="O12" s="22" t="inlineStr">
        <is>
          <t>Ability.Offense.Kinetic</t>
        </is>
      </c>
      <c r="P12" s="22" t="inlineStr">
        <is>
          <t>Rilevato</t>
        </is>
      </c>
      <c r="Q12" s="22" t="inlineStr">
        <is>
          <t>Posizione</t>
        </is>
      </c>
      <c r="R12" s="22" t="n">
        <v>8</v>
      </c>
      <c r="S12" s="22" t="inlineStr">
        <is>
          <t>—</t>
        </is>
      </c>
      <c r="T12" s="22" t="inlineStr">
        <is>
          <t>Slice</t>
        </is>
      </c>
    </row>
    <row r="13">
      <c r="A13" s="22" t="inlineStr">
        <is>
          <t>ABL_BASTION_02</t>
        </is>
      </c>
      <c r="B13" s="22" t="inlineStr">
        <is>
          <t>Bastion</t>
        </is>
      </c>
      <c r="C13" s="22" t="inlineStr">
        <is>
          <t>Pannello cinetico</t>
        </is>
      </c>
      <c r="D13" s="22" t="inlineStr">
        <is>
          <t>Copertura</t>
        </is>
      </c>
      <c r="E13" s="22" t="n">
        <v>40</v>
      </c>
      <c r="F13" s="22" t="n">
        <v>1</v>
      </c>
      <c r="G13" s="22" t="n">
        <v>2</v>
      </c>
      <c r="H13" s="22" t="n">
        <v>3</v>
      </c>
      <c r="I13" s="22" t="n">
        <v>0</v>
      </c>
      <c r="J13" s="22" t="n">
        <v>0</v>
      </c>
      <c r="K13" s="22" t="n">
        <v>0</v>
      </c>
      <c r="L13" s="22" t="n">
        <v>2</v>
      </c>
      <c r="M13" s="22" t="inlineStr">
        <is>
          <t>PersistOnCell</t>
        </is>
      </c>
      <c r="N13" s="22" t="inlineStr">
        <is>
          <t>Crea copertura da 30 integrità</t>
        </is>
      </c>
      <c r="O13" s="22" t="inlineStr">
        <is>
          <t>Ability.Defense.Cover</t>
        </is>
      </c>
      <c r="P13" s="22" t="inlineStr">
        <is>
          <t>Nessuno</t>
        </is>
      </c>
      <c r="Q13" s="22" t="inlineStr">
        <is>
          <t>No</t>
        </is>
      </c>
      <c r="R13" s="22" t="n">
        <v>4</v>
      </c>
      <c r="S13" s="22" t="inlineStr">
        <is>
          <t>Copertura: Ident -24 dal lato protetto</t>
        </is>
      </c>
      <c r="T13" s="22" t="inlineStr">
        <is>
          <t>Slice</t>
        </is>
      </c>
    </row>
    <row r="14">
      <c r="A14" s="22" t="inlineStr">
        <is>
          <t>ABL_BASTION_03</t>
        </is>
      </c>
      <c r="B14" s="22" t="inlineStr">
        <is>
          <t>Bastion</t>
        </is>
      </c>
      <c r="C14" s="22" t="inlineStr">
        <is>
          <t>Riconfigurazione</t>
        </is>
      </c>
      <c r="D14" s="22" t="inlineStr">
        <is>
          <t>Arco/Struttura</t>
        </is>
      </c>
      <c r="E14" s="22" t="n">
        <v>40</v>
      </c>
      <c r="F14" s="22" t="n">
        <v>1</v>
      </c>
      <c r="G14" s="22" t="n">
        <v>2</v>
      </c>
      <c r="H14" s="22" t="n">
        <v>3</v>
      </c>
      <c r="I14" s="22" t="n">
        <v>0</v>
      </c>
      <c r="J14" s="22" t="n">
        <v>0</v>
      </c>
      <c r="K14" s="22" t="n">
        <v>0</v>
      </c>
      <c r="L14" s="22" t="n">
        <v>0</v>
      </c>
      <c r="M14" s="22" t="inlineStr">
        <is>
          <t>PersistOnCell</t>
        </is>
      </c>
      <c r="N14" s="22" t="inlineStr">
        <is>
          <t>Sposta o ruota una copertura</t>
        </is>
      </c>
      <c r="O14" s="22" t="inlineStr">
        <is>
          <t>Ability.Structure.Modify</t>
        </is>
      </c>
      <c r="P14" s="22" t="inlineStr">
        <is>
          <t>Nessuno</t>
        </is>
      </c>
      <c r="Q14" s="22" t="inlineStr">
        <is>
          <t>No</t>
        </is>
      </c>
      <c r="R14" s="22" t="n">
        <v>4</v>
      </c>
      <c r="S14" s="22" t="inlineStr">
        <is>
          <t>Può aprire o chiudere una linea di vista</t>
        </is>
      </c>
      <c r="T14" s="22" t="inlineStr">
        <is>
          <t>Slice</t>
        </is>
      </c>
    </row>
    <row r="15">
      <c r="A15" s="22" t="inlineStr">
        <is>
          <t>ABL_BASTION_04</t>
        </is>
      </c>
      <c r="B15" s="22" t="inlineStr">
        <is>
          <t>Bastion</t>
        </is>
      </c>
      <c r="C15" s="22" t="inlineStr">
        <is>
          <t>Ariete</t>
        </is>
      </c>
      <c r="D15" s="22" t="inlineStr">
        <is>
          <t>Charge</t>
        </is>
      </c>
      <c r="E15" s="22" t="n">
        <v>60</v>
      </c>
      <c r="F15" s="22" t="n">
        <v>1</v>
      </c>
      <c r="G15" s="22" t="n">
        <v>2</v>
      </c>
      <c r="H15" s="22" t="n">
        <v>3</v>
      </c>
      <c r="I15" s="22" t="n">
        <v>0</v>
      </c>
      <c r="J15" s="22" t="n">
        <v>20</v>
      </c>
      <c r="K15" s="22" t="n">
        <v>1</v>
      </c>
      <c r="L15" s="22" t="n">
        <v>0</v>
      </c>
      <c r="M15" s="22" t="inlineStr">
        <is>
          <t>PersistOnCell</t>
        </is>
      </c>
      <c r="N15" s="22" t="inlineStr">
        <is>
          <t>Push 1; si ferma all'impatto</t>
        </is>
      </c>
      <c r="O15" s="22" t="inlineStr">
        <is>
          <t>Ability.Mobility.Charge</t>
        </is>
      </c>
      <c r="P15" s="22" t="inlineStr">
        <is>
          <t>Rilevato</t>
        </is>
      </c>
      <c r="Q15" s="22" t="inlineStr">
        <is>
          <t>Posizione</t>
        </is>
      </c>
      <c r="R15" s="22" t="n">
        <v>9</v>
      </c>
      <c r="S15" s="22" t="inlineStr">
        <is>
          <t>—</t>
        </is>
      </c>
      <c r="T15" s="22" t="inlineStr">
        <is>
          <t>Slice</t>
        </is>
      </c>
    </row>
    <row r="16">
      <c r="A16" s="22" t="inlineStr">
        <is>
          <t>ABL_VEKTOR_01</t>
        </is>
      </c>
      <c r="B16" s="22" t="inlineStr">
        <is>
          <t>Vektor</t>
        </is>
      </c>
      <c r="C16" s="22" t="inlineStr">
        <is>
          <t>Tiro a impulsi</t>
        </is>
      </c>
      <c r="D16" s="22" t="inlineStr">
        <is>
          <t>Attacco base</t>
        </is>
      </c>
      <c r="E16" s="22" t="n">
        <v>50</v>
      </c>
      <c r="F16" s="22" t="n">
        <v>1</v>
      </c>
      <c r="G16" s="22" t="n">
        <v>0</v>
      </c>
      <c r="H16" s="22" t="n">
        <v>4</v>
      </c>
      <c r="I16" s="22" t="n">
        <v>0</v>
      </c>
      <c r="J16" s="22" t="n">
        <v>21</v>
      </c>
      <c r="K16" s="22" t="n">
        <v>0</v>
      </c>
      <c r="L16" s="22" t="n">
        <v>0</v>
      </c>
      <c r="M16" s="22" t="inlineStr">
        <is>
          <t>Cancel</t>
        </is>
      </c>
      <c r="N16" s="22" t="inlineStr">
        <is>
          <t>Nessuna</t>
        </is>
      </c>
      <c r="O16" s="22" t="inlineStr">
        <is>
          <t>Ability.Offense.Kinetic</t>
        </is>
      </c>
      <c r="P16" s="22" t="inlineStr">
        <is>
          <t>Rilevato</t>
        </is>
      </c>
      <c r="Q16" s="22" t="inlineStr">
        <is>
          <t>Posizione</t>
        </is>
      </c>
      <c r="R16" s="22" t="n">
        <v>8</v>
      </c>
      <c r="S16" s="22" t="inlineStr">
        <is>
          <t>—</t>
        </is>
      </c>
      <c r="T16" s="22" t="inlineStr">
        <is>
          <t>Slice</t>
        </is>
      </c>
    </row>
    <row r="17">
      <c r="A17" s="22" t="inlineStr">
        <is>
          <t>ABL_VEKTOR_02</t>
        </is>
      </c>
      <c r="B17" s="22" t="inlineStr">
        <is>
          <t>Vektor</t>
        </is>
      </c>
      <c r="C17" s="22" t="inlineStr">
        <is>
          <t>Lama di passaggio</t>
        </is>
      </c>
      <c r="D17" s="22" t="inlineStr">
        <is>
          <t>Dash offensivo</t>
        </is>
      </c>
      <c r="E17" s="22" t="n">
        <v>60</v>
      </c>
      <c r="F17" s="22" t="n">
        <v>1</v>
      </c>
      <c r="G17" s="22" t="n">
        <v>2</v>
      </c>
      <c r="H17" s="22" t="n">
        <v>3</v>
      </c>
      <c r="I17" s="22" t="n">
        <v>0</v>
      </c>
      <c r="J17" s="22" t="n">
        <v>20</v>
      </c>
      <c r="K17" s="22" t="n">
        <v>0</v>
      </c>
      <c r="L17" s="22" t="n">
        <v>0</v>
      </c>
      <c r="M17" s="22" t="inlineStr">
        <is>
          <t>PersistOnCell</t>
        </is>
      </c>
      <c r="N17" s="22" t="inlineStr">
        <is>
          <t>Dash 3; colpisce attraversando</t>
        </is>
      </c>
      <c r="O17" s="22" t="inlineStr">
        <is>
          <t>Ability.Mobility.Dash</t>
        </is>
      </c>
      <c r="P17" s="22" t="inlineStr">
        <is>
          <t>Rilevato</t>
        </is>
      </c>
      <c r="Q17" s="22" t="inlineStr">
        <is>
          <t>Posizione</t>
        </is>
      </c>
      <c r="R17" s="22" t="n">
        <v>9</v>
      </c>
      <c r="S17" s="22" t="inlineStr">
        <is>
          <t>—</t>
        </is>
      </c>
      <c r="T17" s="22" t="inlineStr">
        <is>
          <t>Slice</t>
        </is>
      </c>
    </row>
    <row r="18">
      <c r="A18" s="22" t="inlineStr">
        <is>
          <t>ABL_VEKTOR_03</t>
        </is>
      </c>
      <c r="B18" s="22" t="inlineStr">
        <is>
          <t>Vektor</t>
        </is>
      </c>
      <c r="C18" s="22" t="inlineStr">
        <is>
          <t>Finta</t>
        </is>
      </c>
      <c r="D18" s="22" t="inlineStr">
        <is>
          <t>Controllo</t>
        </is>
      </c>
      <c r="E18" s="22" t="n">
        <v>40</v>
      </c>
      <c r="F18" s="22" t="n">
        <v>1</v>
      </c>
      <c r="G18" s="22" t="n">
        <v>2</v>
      </c>
      <c r="H18" s="22" t="n">
        <v>4</v>
      </c>
      <c r="I18" s="22" t="n">
        <v>0</v>
      </c>
      <c r="J18" s="22" t="n">
        <v>0</v>
      </c>
      <c r="K18" s="22" t="n">
        <v>1</v>
      </c>
      <c r="L18" s="22" t="n">
        <v>1</v>
      </c>
      <c r="M18" s="22" t="inlineStr">
        <is>
          <t>FireAtLastKnownCell</t>
        </is>
      </c>
      <c r="N18" s="22" t="inlineStr">
        <is>
          <t>Marca una cella e ottiene Reposition</t>
        </is>
      </c>
      <c r="O18" s="22" t="inlineStr">
        <is>
          <t>Ability.Control.Mark</t>
        </is>
      </c>
      <c r="P18" s="22" t="inlineStr">
        <is>
          <t>Nessuno</t>
        </is>
      </c>
      <c r="Q18" s="22" t="inlineStr">
        <is>
          <t>Direzione</t>
        </is>
      </c>
      <c r="R18" s="22" t="n">
        <v>3</v>
      </c>
      <c r="S18" s="22" t="inlineStr">
        <is>
          <t>Marked: Ident +20 sul bersaglio</t>
        </is>
      </c>
      <c r="T18" s="22" t="inlineStr">
        <is>
          <t>Slice</t>
        </is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</sheetData>
  <mergeCells count="1">
    <mergeCell ref="A1:O1"/>
  </mergeCells>
  <conditionalFormatting sqref="E4:E19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4:H19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4:J19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4:K19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style="58" min="1" max="1"/>
    <col width="14" customWidth="1" style="58" min="2" max="2"/>
    <col width="43" customWidth="1" style="58" min="3" max="3"/>
    <col width="15" customWidth="1" style="58" min="4" max="4"/>
    <col width="13" customWidth="1" style="58" min="5" max="5"/>
    <col width="10" customWidth="1" style="58" min="6" max="6"/>
    <col width="10" customWidth="1" style="58" min="7" max="7"/>
    <col width="17" customWidth="1" style="58" min="8" max="8"/>
    <col width="20" customWidth="1" style="58" min="9" max="9"/>
    <col width="20" customWidth="1" style="58" min="10" max="10"/>
    <col width="20" customWidth="1" style="58" min="11" max="11"/>
    <col width="38" customWidth="1" style="58" min="12" max="12"/>
  </cols>
  <sheetData>
    <row r="1" ht="30" customHeight="1" s="58">
      <c r="A1" s="9" t="inlineStr">
        <is>
          <t>FastSelect / Fast Reactions — due opzioni mutuamente esclusive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34" customHeight="1" s="58">
      <c r="A3" s="14" t="inlineStr">
        <is>
          <t>Reaction_ID</t>
        </is>
      </c>
      <c r="B3" s="14" t="inlineStr">
        <is>
          <t>Hero</t>
        </is>
      </c>
      <c r="C3" s="14" t="inlineStr">
        <is>
          <t>Trigger</t>
        </is>
      </c>
      <c r="D3" s="14" t="inlineStr">
        <is>
          <t>Tipo</t>
        </is>
      </c>
      <c r="E3" s="14" t="inlineStr">
        <is>
          <t>Presentazione_sec</t>
        </is>
      </c>
      <c r="F3" s="14" t="inlineStr">
        <is>
          <t>Costo</t>
        </is>
      </c>
      <c r="G3" s="14" t="inlineStr">
        <is>
          <t>Priorità</t>
        </is>
      </c>
      <c r="H3" s="14" t="inlineStr">
        <is>
          <t>Exclusive_Group</t>
        </is>
      </c>
      <c r="I3" s="14" t="inlineStr">
        <is>
          <t>Scelta_A</t>
        </is>
      </c>
      <c r="J3" s="14" t="inlineStr">
        <is>
          <t>Scelta_B</t>
        </is>
      </c>
      <c r="K3" s="14" t="inlineStr">
        <is>
          <t>Esito_Default</t>
        </is>
      </c>
      <c r="L3" s="14" t="inlineStr">
        <is>
          <t>Tradeoff</t>
        </is>
      </c>
      <c r="M3" s="14" t="inlineStr">
        <is>
          <t>Condizione_Dichiarata</t>
        </is>
      </c>
      <c r="N3" s="14" t="inlineStr">
        <is>
          <t>Ordine_Valutazione</t>
        </is>
      </c>
    </row>
    <row r="4">
      <c r="A4" s="22" t="inlineStr">
        <is>
          <t>REACT_FLUX_CAP</t>
        </is>
      </c>
      <c r="B4" s="22" t="inlineStr">
        <is>
          <t>Flux</t>
        </is>
      </c>
      <c r="C4" s="22" t="inlineStr">
        <is>
          <t>Un nemico colpisce Flux con un attacco diretto</t>
        </is>
      </c>
      <c r="D4" s="22" t="inlineStr">
        <is>
          <t>Difesa</t>
        </is>
      </c>
      <c r="E4" s="22" t="n">
        <v>2</v>
      </c>
      <c r="F4" s="22" t="n">
        <v>1</v>
      </c>
      <c r="G4" s="22" t="n">
        <v>90</v>
      </c>
      <c r="H4" s="22" t="inlineStr">
        <is>
          <t>Flux_R1</t>
        </is>
      </c>
      <c r="I4" s="22" t="inlineStr">
        <is>
          <t>Capacitore reattivo</t>
        </is>
      </c>
      <c r="J4" s="22" t="inlineStr">
        <is>
          <t>Brace</t>
        </is>
      </c>
      <c r="K4" s="22" t="inlineStr">
        <is>
          <t>Capacitore reattivo</t>
        </is>
      </c>
      <c r="L4" s="22" t="inlineStr">
        <is>
          <t>Scudo 15 e 10 danni all'attaccante; CD 3</t>
        </is>
      </c>
      <c r="M4" t="inlineStr">
        <is>
          <t>Il primo attacco diretto ricevuto nella fase Blast</t>
        </is>
      </c>
      <c r="N4" t="n">
        <v>1</v>
      </c>
    </row>
    <row r="5">
      <c r="A5" s="22" t="inlineStr">
        <is>
          <t>REACT_FLUX_BRACE</t>
        </is>
      </c>
      <c r="B5" s="22" t="inlineStr">
        <is>
          <t>Flux</t>
        </is>
      </c>
      <c r="C5" s="22" t="inlineStr">
        <is>
          <t>Flux subisce una spinta o un'AoE</t>
        </is>
      </c>
      <c r="D5" s="22" t="inlineStr">
        <is>
          <t>Difesa</t>
        </is>
      </c>
      <c r="E5" s="22" t="n">
        <v>2</v>
      </c>
      <c r="F5" s="22" t="n">
        <v>1</v>
      </c>
      <c r="G5" s="22" t="n">
        <v>95</v>
      </c>
      <c r="H5" s="22" t="inlineStr">
        <is>
          <t>Flux_R1</t>
        </is>
      </c>
      <c r="I5" s="22" t="inlineStr">
        <is>
          <t>Brace</t>
        </is>
      </c>
      <c r="J5" s="22" t="inlineStr">
        <is>
          <t>Capacitore reattivo</t>
        </is>
      </c>
      <c r="K5" s="22" t="inlineStr">
        <is>
          <t>Brace</t>
        </is>
      </c>
      <c r="L5" s="22" t="inlineStr">
        <is>
          <t>Blocca la prima spinta, −10 ai danni diretti</t>
        </is>
      </c>
      <c r="M5" t="inlineStr">
        <is>
          <t>Spinta o danno ad area, se il capacitore non è scattato</t>
        </is>
      </c>
      <c r="N5" t="n">
        <v>2</v>
      </c>
    </row>
    <row r="6">
      <c r="A6" s="22" t="inlineStr">
        <is>
          <t>REACT_RIVA_FLOW</t>
        </is>
      </c>
      <c r="B6" s="22" t="inlineStr">
        <is>
          <t>Riva</t>
        </is>
      </c>
      <c r="C6" s="22" t="inlineStr">
        <is>
          <t>Riva viene colpita da un attacco diretto</t>
        </is>
      </c>
      <c r="D6" s="22" t="inlineStr">
        <is>
          <t>Mobilità</t>
        </is>
      </c>
      <c r="E6" s="22" t="n">
        <v>2</v>
      </c>
      <c r="F6" s="22" t="n">
        <v>1</v>
      </c>
      <c r="G6" s="22" t="n">
        <v>90</v>
      </c>
      <c r="H6" s="22" t="inlineStr">
        <is>
          <t>Riva_R1</t>
        </is>
      </c>
      <c r="I6" s="22" t="inlineStr">
        <is>
          <t>Flusso reattivo</t>
        </is>
      </c>
      <c r="J6" s="22" t="inlineStr">
        <is>
          <t>Shield</t>
        </is>
      </c>
      <c r="K6" s="22" t="inlineStr">
        <is>
          <t>Flusso reattivo</t>
        </is>
      </c>
      <c r="L6" s="22" t="inlineStr">
        <is>
          <t>Reposition 1 dopo l'attacco; CD 3</t>
        </is>
      </c>
      <c r="M6" t="inlineStr">
        <is>
          <t>Il primo attacco diretto ricevuto nella fase Blast</t>
        </is>
      </c>
      <c r="N6" t="n">
        <v>1</v>
      </c>
    </row>
    <row r="7">
      <c r="A7" s="22" t="inlineStr">
        <is>
          <t>REACT_RIVA_SHIELD</t>
        </is>
      </c>
      <c r="B7" s="22" t="inlineStr">
        <is>
          <t>Riva</t>
        </is>
      </c>
      <c r="C7" s="22" t="inlineStr">
        <is>
          <t>Un alleato entro 2 celle sta per subire danno</t>
        </is>
      </c>
      <c r="D7" s="22" t="inlineStr">
        <is>
          <t>Difesa</t>
        </is>
      </c>
      <c r="E7" s="22" t="n">
        <v>2</v>
      </c>
      <c r="F7" s="22" t="n">
        <v>1</v>
      </c>
      <c r="G7" s="22" t="n">
        <v>95</v>
      </c>
      <c r="H7" s="22" t="inlineStr">
        <is>
          <t>Riva_R1</t>
        </is>
      </c>
      <c r="I7" s="22" t="inlineStr">
        <is>
          <t>Shield</t>
        </is>
      </c>
      <c r="J7" s="22" t="inlineStr">
        <is>
          <t>Flusso reattivo</t>
        </is>
      </c>
      <c r="K7" s="22" t="inlineStr">
        <is>
          <t>Shield</t>
        </is>
      </c>
      <c r="L7" s="22" t="inlineStr">
        <is>
          <t>Scudo 25 consumato prima degli HP, scade nel Cleanup</t>
        </is>
      </c>
      <c r="M7" t="inlineStr">
        <is>
          <t>Alleato bersagliato e flusso non disponibile</t>
        </is>
      </c>
      <c r="N7" t="n">
        <v>2</v>
      </c>
    </row>
    <row r="8">
      <c r="A8" s="22" t="inlineStr">
        <is>
          <t>REACT_BASTION_INTER</t>
        </is>
      </c>
      <c r="B8" s="22" t="inlineStr">
        <is>
          <t>Bastion</t>
        </is>
      </c>
      <c r="C8" s="22" t="inlineStr">
        <is>
          <t>Un alleato entro 2 celle è bersaglio di un attacco diretto</t>
        </is>
      </c>
      <c r="D8" s="22" t="inlineStr">
        <is>
          <t>Guardia</t>
        </is>
      </c>
      <c r="E8" s="22" t="n">
        <v>2</v>
      </c>
      <c r="F8" s="22" t="n">
        <v>1</v>
      </c>
      <c r="G8" s="22" t="n">
        <v>90</v>
      </c>
      <c r="H8" s="22" t="inlineStr">
        <is>
          <t>Bastion_R1</t>
        </is>
      </c>
      <c r="I8" s="22" t="inlineStr">
        <is>
          <t>Interposizione</t>
        </is>
      </c>
      <c r="J8" s="22" t="inlineStr">
        <is>
          <t>Brace</t>
        </is>
      </c>
      <c r="K8" s="22" t="inlineStr">
        <is>
          <t>Interposizione</t>
        </is>
      </c>
      <c r="L8" s="22" t="inlineStr">
        <is>
          <t>Bastion diventa il bersaglio; non intercetta AoE né hazard</t>
        </is>
      </c>
      <c r="M8" t="inlineStr">
        <is>
          <t>Attacco diretto a un alleato con traiettoria compatibile</t>
        </is>
      </c>
      <c r="N8" t="n">
        <v>1</v>
      </c>
    </row>
    <row r="9">
      <c r="A9" s="22" t="inlineStr">
        <is>
          <t>REACT_BASTION_BRACE</t>
        </is>
      </c>
      <c r="B9" s="22" t="inlineStr">
        <is>
          <t>Bastion</t>
        </is>
      </c>
      <c r="C9" s="22" t="inlineStr">
        <is>
          <t>Bastion sta per subire danno o spinta</t>
        </is>
      </c>
      <c r="D9" s="22" t="inlineStr">
        <is>
          <t>Difesa</t>
        </is>
      </c>
      <c r="E9" s="22" t="n">
        <v>2</v>
      </c>
      <c r="F9" s="22" t="n">
        <v>1</v>
      </c>
      <c r="G9" s="22" t="n">
        <v>95</v>
      </c>
      <c r="H9" s="22" t="inlineStr">
        <is>
          <t>Bastion_R1</t>
        </is>
      </c>
      <c r="I9" s="22" t="inlineStr">
        <is>
          <t>Brace</t>
        </is>
      </c>
      <c r="J9" s="22" t="inlineStr">
        <is>
          <t>Interposizione</t>
        </is>
      </c>
      <c r="K9" s="22" t="inlineStr">
        <is>
          <t>Brace</t>
        </is>
      </c>
      <c r="L9" s="22" t="inlineStr">
        <is>
          <t>Blocca la prima spinta, −10 ai danni; blocca il movimento volontario</t>
        </is>
      </c>
      <c r="M9" t="inlineStr">
        <is>
          <t>Nessun alleato intercettabile nella fase</t>
        </is>
      </c>
      <c r="N9" t="n">
        <v>2</v>
      </c>
    </row>
    <row r="10">
      <c r="A10" s="22" t="inlineStr">
        <is>
          <t>REACT_VEKTOR_INTERCEPT</t>
        </is>
      </c>
      <c r="B10" s="22" t="inlineStr">
        <is>
          <t>Vektor</t>
        </is>
      </c>
      <c r="C10" s="22" t="inlineStr">
        <is>
          <t>Un nemico attraversa la cella controllata</t>
        </is>
      </c>
      <c r="D10" s="22" t="inlineStr">
        <is>
          <t>Overwatch</t>
        </is>
      </c>
      <c r="E10" s="22" t="n">
        <v>2</v>
      </c>
      <c r="F10" s="22" t="n">
        <v>1</v>
      </c>
      <c r="G10" s="22" t="n">
        <v>90</v>
      </c>
      <c r="H10" s="22" t="inlineStr">
        <is>
          <t>Vektor_R1</t>
        </is>
      </c>
      <c r="I10" s="22" t="inlineStr">
        <is>
          <t>Tiro d'intercetto</t>
        </is>
      </c>
      <c r="J10" s="22" t="inlineStr">
        <is>
          <t>Deviazione</t>
        </is>
      </c>
      <c r="K10" s="22" t="inlineStr">
        <is>
          <t>Tiro d'intercetto</t>
        </is>
      </c>
      <c r="L10" s="22" t="inlineStr">
        <is>
          <t>16 danni e stop del movimento; CD 2</t>
        </is>
      </c>
      <c r="M10" t="inlineStr">
        <is>
          <t>Movimento nemico nella cella marcata durante il Move</t>
        </is>
      </c>
      <c r="N10" t="n">
        <v>1</v>
      </c>
    </row>
    <row r="11">
      <c r="A11" s="22" t="inlineStr">
        <is>
          <t>REACT_VEKTOR_DEFLECT</t>
        </is>
      </c>
      <c r="B11" s="22" t="inlineStr">
        <is>
          <t>Vektor</t>
        </is>
      </c>
      <c r="C11" s="22" t="inlineStr">
        <is>
          <t>Vektor subisce un attacco diretto</t>
        </is>
      </c>
      <c r="D11" s="22" t="inlineStr">
        <is>
          <t>Difesa</t>
        </is>
      </c>
      <c r="E11" s="22" t="n">
        <v>2</v>
      </c>
      <c r="F11" s="22" t="n">
        <v>1</v>
      </c>
      <c r="G11" s="22" t="n">
        <v>95</v>
      </c>
      <c r="H11" s="22" t="inlineStr">
        <is>
          <t>Vektor_R1</t>
        </is>
      </c>
      <c r="I11" s="22" t="inlineStr">
        <is>
          <t>Deviazione</t>
        </is>
      </c>
      <c r="J11" s="22" t="inlineStr">
        <is>
          <t>Tiro d'intercetto</t>
        </is>
      </c>
      <c r="K11" s="22" t="inlineStr">
        <is>
          <t>Deviazione</t>
        </is>
      </c>
      <c r="L11" s="22" t="inlineStr">
        <is>
          <t>−20 al danno diretto; l'attacco conta come avvenuto</t>
        </is>
      </c>
      <c r="M11" t="inlineStr">
        <is>
          <t>Attacco diretto ricevuto e nessun nemico in transito</t>
        </is>
      </c>
      <c r="N11" t="n">
        <v>2</v>
      </c>
    </row>
    <row r="14" ht="34" customHeight="1" s="58">
      <c r="A14" s="31" t="inlineStr">
        <is>
          <t>Baseline: 1 attivazione per turno (RES_REACTION). La finestra NON è interattiva: entrambe le opzioni e le loro condizioni si dichiarano in planning, il resolver le valuta in Ordine_Valutazione sullo snapshot di fase. Presentazione_sec è solo durata di animazione — nessuna attesa nel resolver (invariante #3).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</sheetData>
  <mergeCells count="2">
    <mergeCell ref="A14:L14"/>
    <mergeCell ref="A1:L1"/>
  </mergeCells>
  <conditionalFormatting sqref="E4:E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4:G1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3" customWidth="1" style="58" min="2" max="2"/>
    <col width="15" customWidth="1" style="58" min="3" max="3"/>
    <col width="11" customWidth="1" style="58" min="4" max="4"/>
    <col width="13" customWidth="1" style="58" min="5" max="5"/>
    <col width="14" customWidth="1" style="58" min="6" max="6"/>
    <col width="12" customWidth="1" style="58" min="7" max="7"/>
    <col width="11" customWidth="1" style="58" min="8" max="8"/>
    <col width="11" customWidth="1" style="58" min="9" max="9"/>
    <col width="11" customWidth="1" style="58" min="10" max="10"/>
    <col width="10" customWidth="1" style="58" min="11" max="11"/>
    <col width="11" customWidth="1" style="58" min="12" max="12"/>
    <col width="10" customWidth="1" style="58" min="13" max="13"/>
    <col width="13" customWidth="1" style="58" min="14" max="14"/>
    <col width="42" customWidth="1" style="58" min="15" max="15"/>
    <col width="18" customWidth="1" style="58" min="16" max="16"/>
    <col width="18" customWidth="1" style="58" min="17" max="17"/>
    <col width="18" customWidth="1" style="58" min="18" max="18"/>
    <col width="18" customWidth="1" style="58" min="19" max="19"/>
    <col width="18" customWidth="1" style="58" min="20" max="20"/>
    <col width="18" customWidth="1" style="58" min="21" max="21"/>
  </cols>
  <sheetData>
    <row r="1" ht="30" customHeight="1" s="58">
      <c r="A1" s="9" t="inlineStr">
        <is>
          <t>Terreni e celle — proprietà centralizzate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3" ht="34" customHeight="1" s="58">
      <c r="A3" s="14" t="inlineStr">
        <is>
          <t>Terrain_ID</t>
        </is>
      </c>
      <c r="B3" s="14" t="inlineStr">
        <is>
          <t>Nome</t>
        </is>
      </c>
      <c r="C3" s="14" t="inlineStr">
        <is>
          <t>Categoria</t>
        </is>
      </c>
      <c r="D3" s="14" t="inlineStr">
        <is>
          <t>Move_Cost</t>
        </is>
      </c>
      <c r="E3" s="14" t="inlineStr">
        <is>
          <t>Opacità_0_5</t>
        </is>
      </c>
      <c r="F3" s="14" t="inlineStr">
        <is>
          <t>Occultamento</t>
        </is>
      </c>
      <c r="G3" s="14" t="inlineStr">
        <is>
          <t>Cover_Value</t>
        </is>
      </c>
      <c r="H3" s="14" t="inlineStr">
        <is>
          <t>Blocks_LOS</t>
        </is>
      </c>
      <c r="I3" s="14" t="inlineStr">
        <is>
          <t>Flammable</t>
        </is>
      </c>
      <c r="J3" s="14" t="inlineStr">
        <is>
          <t>Conductive</t>
        </is>
      </c>
      <c r="K3" s="14" t="inlineStr">
        <is>
          <t>Dynamic</t>
        </is>
      </c>
      <c r="L3" s="14" t="inlineStr">
        <is>
          <t>Noise_Mod</t>
        </is>
      </c>
      <c r="M3" s="14" t="inlineStr">
        <is>
          <t>Height</t>
        </is>
      </c>
      <c r="N3" s="14" t="inlineStr">
        <is>
          <t>Hazard_Slots</t>
        </is>
      </c>
      <c r="O3" s="14" t="inlineStr">
        <is>
          <t>Note</t>
        </is>
      </c>
      <c r="P3" s="14" t="inlineStr">
        <is>
          <t>Sight_Mod</t>
        </is>
      </c>
      <c r="Q3" s="14" t="inlineStr">
        <is>
          <t>Detection_Mod</t>
        </is>
      </c>
      <c r="R3" s="14" t="inlineStr">
        <is>
          <t>Identification_Mod</t>
        </is>
      </c>
      <c r="S3" s="14" t="inlineStr">
        <is>
          <t>Max_Contact_Range</t>
        </is>
      </c>
      <c r="T3" s="14" t="inlineStr">
        <is>
          <t>Vision_Domain</t>
        </is>
      </c>
      <c r="U3" s="14" t="inlineStr">
        <is>
          <t>Scope_v0.1</t>
        </is>
      </c>
    </row>
    <row r="4">
      <c r="A4" s="22" t="inlineStr">
        <is>
          <t>TERRAIN_CLEAR</t>
        </is>
      </c>
      <c r="B4" s="22" t="inlineStr">
        <is>
          <t>Terreno libero</t>
        </is>
      </c>
      <c r="C4" s="22" t="inlineStr">
        <is>
          <t>Ground</t>
        </is>
      </c>
      <c r="D4" s="22" t="n">
        <v>1</v>
      </c>
      <c r="E4" s="22" t="n">
        <v>0</v>
      </c>
      <c r="F4" s="22" t="n">
        <v>0</v>
      </c>
      <c r="G4" s="22" t="n">
        <v>0</v>
      </c>
      <c r="H4" s="22" t="n">
        <v>0</v>
      </c>
      <c r="I4" s="22" t="inlineStr">
        <is>
          <t>No</t>
        </is>
      </c>
      <c r="J4" s="22" t="inlineStr">
        <is>
          <t>No</t>
        </is>
      </c>
      <c r="K4" s="22" t="inlineStr">
        <is>
          <t>No</t>
        </is>
      </c>
      <c r="L4" s="22" t="n">
        <v>1</v>
      </c>
      <c r="M4" s="22" t="n">
        <v>0</v>
      </c>
      <c r="N4" s="22" t="n">
        <v>0</v>
      </c>
      <c r="O4" s="22" t="inlineStr">
        <is>
          <t>Base</t>
        </is>
      </c>
      <c r="P4" s="22" t="n">
        <v>0</v>
      </c>
      <c r="Q4" s="22" t="n">
        <v>0</v>
      </c>
      <c r="R4" s="22" t="n">
        <v>0</v>
      </c>
      <c r="S4" s="22" t="n">
        <v>0</v>
      </c>
      <c r="T4" s="22" t="inlineStr">
        <is>
          <t>Surface</t>
        </is>
      </c>
      <c r="U4" s="22" t="inlineStr">
        <is>
          <t>Slice</t>
        </is>
      </c>
    </row>
    <row r="5">
      <c r="A5" s="22" t="inlineStr">
        <is>
          <t>TERRAIN_HIGH</t>
        </is>
      </c>
      <c r="B5" s="22" t="inlineStr">
        <is>
          <t>Quota alta</t>
        </is>
      </c>
      <c r="C5" s="22" t="inlineStr">
        <is>
          <t>HighGround</t>
        </is>
      </c>
      <c r="D5" s="22" t="n">
        <v>2</v>
      </c>
      <c r="E5" s="22" t="n">
        <v>0</v>
      </c>
      <c r="F5" s="22" t="n">
        <v>0</v>
      </c>
      <c r="G5" s="22" t="n">
        <v>1</v>
      </c>
      <c r="H5" s="22" t="n">
        <v>0</v>
      </c>
      <c r="I5" s="22" t="inlineStr">
        <is>
          <t>No</t>
        </is>
      </c>
      <c r="J5" s="22" t="inlineStr">
        <is>
          <t>No</t>
        </is>
      </c>
      <c r="K5" s="22" t="inlineStr">
        <is>
          <t>No</t>
        </is>
      </c>
      <c r="L5" s="22" t="n">
        <v>1</v>
      </c>
      <c r="M5" s="22" t="n">
        <v>1</v>
      </c>
      <c r="N5" s="22" t="n">
        <v>0</v>
      </c>
      <c r="O5" s="22" t="inlineStr">
        <is>
          <t>Visione +1; più esposto</t>
        </is>
      </c>
      <c r="P5" s="22" t="n">
        <v>1</v>
      </c>
      <c r="Q5" s="22" t="n">
        <v>0</v>
      </c>
      <c r="R5" s="22" t="n">
        <v>0</v>
      </c>
      <c r="S5" s="22" t="n">
        <v>0</v>
      </c>
      <c r="T5" s="22" t="inlineStr">
        <is>
          <t>Surface</t>
        </is>
      </c>
      <c r="U5" s="22" t="inlineStr">
        <is>
          <t>Slice</t>
        </is>
      </c>
    </row>
    <row r="6">
      <c r="A6" s="22" t="inlineStr">
        <is>
          <t>TERRAIN_BRIDGE</t>
        </is>
      </c>
      <c r="B6" s="22" t="inlineStr">
        <is>
          <t>Ponte</t>
        </is>
      </c>
      <c r="C6" s="22" t="inlineStr">
        <is>
          <t>Bridge</t>
        </is>
      </c>
      <c r="D6" s="22" t="n">
        <v>1</v>
      </c>
      <c r="E6" s="22" t="n">
        <v>0</v>
      </c>
      <c r="F6" s="22" t="n">
        <v>0</v>
      </c>
      <c r="G6" s="22" t="n">
        <v>0</v>
      </c>
      <c r="H6" s="22" t="n">
        <v>0</v>
      </c>
      <c r="I6" s="22" t="inlineStr">
        <is>
          <t>Sì</t>
        </is>
      </c>
      <c r="J6" s="22" t="inlineStr">
        <is>
          <t>No</t>
        </is>
      </c>
      <c r="K6" s="22" t="inlineStr">
        <is>
          <t>Sì</t>
        </is>
      </c>
      <c r="L6" s="22" t="n">
        <v>2</v>
      </c>
      <c r="M6" s="22" t="n">
        <v>1</v>
      </c>
      <c r="N6" s="22" t="n">
        <v>0</v>
      </c>
      <c r="O6" s="22" t="inlineStr">
        <is>
          <t>Arco distruttibile</t>
        </is>
      </c>
      <c r="P6" s="22" t="n">
        <v>1</v>
      </c>
      <c r="Q6" s="22" t="n">
        <v>0</v>
      </c>
      <c r="R6" s="22" t="n">
        <v>0</v>
      </c>
      <c r="S6" s="22" t="n">
        <v>0</v>
      </c>
      <c r="T6" s="22" t="inlineStr">
        <is>
          <t>Bridge</t>
        </is>
      </c>
      <c r="U6" s="22" t="inlineStr">
        <is>
          <t>Slice</t>
        </is>
      </c>
    </row>
    <row r="7">
      <c r="A7" s="22" t="inlineStr">
        <is>
          <t>TERRAIN_ROOF</t>
        </is>
      </c>
      <c r="B7" s="22" t="inlineStr">
        <is>
          <t>Tetto</t>
        </is>
      </c>
      <c r="C7" s="22" t="inlineStr">
        <is>
          <t>Roof</t>
        </is>
      </c>
      <c r="D7" s="22" t="n">
        <v>2</v>
      </c>
      <c r="E7" s="22" t="n">
        <v>0</v>
      </c>
      <c r="F7" s="22" t="n">
        <v>0</v>
      </c>
      <c r="G7" s="22" t="n">
        <v>1</v>
      </c>
      <c r="H7" s="22" t="n">
        <v>0</v>
      </c>
      <c r="I7" s="22" t="inlineStr">
        <is>
          <t>Sì</t>
        </is>
      </c>
      <c r="J7" s="22" t="inlineStr">
        <is>
          <t>No</t>
        </is>
      </c>
      <c r="K7" s="22" t="inlineStr">
        <is>
          <t>No</t>
        </is>
      </c>
      <c r="L7" s="22" t="n">
        <v>2</v>
      </c>
      <c r="M7" s="22" t="n">
        <v>2</v>
      </c>
      <c r="N7" s="22" t="n">
        <v>0</v>
      </c>
      <c r="O7" s="22" t="inlineStr">
        <is>
          <t>Accesso tramite transizione</t>
        </is>
      </c>
      <c r="P7" s="22" t="n">
        <v>2</v>
      </c>
      <c r="Q7" s="22" t="n">
        <v>0</v>
      </c>
      <c r="R7" s="22" t="n">
        <v>0</v>
      </c>
      <c r="S7" s="22" t="n">
        <v>0</v>
      </c>
      <c r="T7" s="22" t="inlineStr">
        <is>
          <t>Roof</t>
        </is>
      </c>
      <c r="U7" s="22" t="inlineStr">
        <is>
          <t>Espansione</t>
        </is>
      </c>
    </row>
    <row r="8">
      <c r="A8" s="22" t="inlineStr">
        <is>
          <t>TERRAIN_TUNNEL</t>
        </is>
      </c>
      <c r="B8" s="22" t="inlineStr">
        <is>
          <t>Tunnel</t>
        </is>
      </c>
      <c r="C8" s="22" t="inlineStr">
        <is>
          <t>Tunnel</t>
        </is>
      </c>
      <c r="D8" s="22" t="n">
        <v>1</v>
      </c>
      <c r="E8" s="22" t="n">
        <v>1</v>
      </c>
      <c r="F8" s="22" t="n">
        <v>2</v>
      </c>
      <c r="G8" s="22" t="n">
        <v>0</v>
      </c>
      <c r="H8" s="22" t="n">
        <v>1</v>
      </c>
      <c r="I8" s="22" t="inlineStr">
        <is>
          <t>No</t>
        </is>
      </c>
      <c r="J8" s="22" t="inlineStr">
        <is>
          <t>No</t>
        </is>
      </c>
      <c r="K8" s="22" t="inlineStr">
        <is>
          <t>No</t>
        </is>
      </c>
      <c r="L8" s="22" t="n">
        <v>2</v>
      </c>
      <c r="M8" s="22" t="n">
        <v>-1</v>
      </c>
      <c r="N8" s="22" t="n">
        <v>0</v>
      </c>
      <c r="O8" s="22" t="inlineStr">
        <is>
          <t>Dominio LOS separato</t>
        </is>
      </c>
      <c r="P8" s="22" t="n">
        <v>-1</v>
      </c>
      <c r="Q8" s="22" t="n">
        <v>-10</v>
      </c>
      <c r="R8" s="22" t="n">
        <v>-8</v>
      </c>
      <c r="S8" s="22" t="n">
        <v>3</v>
      </c>
      <c r="T8" s="22" t="inlineStr">
        <is>
          <t>Tunnel</t>
        </is>
      </c>
      <c r="U8" s="22" t="inlineStr">
        <is>
          <t>Espansione</t>
        </is>
      </c>
    </row>
    <row r="9">
      <c r="A9" s="22" t="inlineStr">
        <is>
          <t>TERRAIN_WATER_S</t>
        </is>
      </c>
      <c r="B9" s="22" t="inlineStr">
        <is>
          <t>Acqua bassa</t>
        </is>
      </c>
      <c r="C9" s="22" t="inlineStr">
        <is>
          <t>Water</t>
        </is>
      </c>
      <c r="D9" s="22" t="n">
        <v>2</v>
      </c>
      <c r="E9" s="22" t="n">
        <v>0</v>
      </c>
      <c r="F9" s="22" t="n">
        <v>1</v>
      </c>
      <c r="G9" s="22" t="n">
        <v>0</v>
      </c>
      <c r="H9" s="22" t="n">
        <v>0</v>
      </c>
      <c r="I9" s="22" t="inlineStr">
        <is>
          <t>No</t>
        </is>
      </c>
      <c r="J9" s="22" t="inlineStr">
        <is>
          <t>Sì</t>
        </is>
      </c>
      <c r="K9" s="22" t="inlineStr">
        <is>
          <t>No</t>
        </is>
      </c>
      <c r="L9" s="22" t="n">
        <v>4</v>
      </c>
      <c r="M9" s="22" t="n">
        <v>0</v>
      </c>
      <c r="N9" s="22" t="n">
        <v>0</v>
      </c>
      <c r="O9" s="22" t="inlineStr">
        <is>
          <t>Bagnato; increspature</t>
        </is>
      </c>
      <c r="P9" s="22" t="n">
        <v>0</v>
      </c>
      <c r="Q9" s="22" t="n">
        <v>-5</v>
      </c>
      <c r="R9" s="22" t="n">
        <v>0</v>
      </c>
      <c r="S9" s="22" t="n">
        <v>0</v>
      </c>
      <c r="T9" s="22" t="inlineStr">
        <is>
          <t>Surface</t>
        </is>
      </c>
      <c r="U9" s="22" t="inlineStr">
        <is>
          <t>Slice</t>
        </is>
      </c>
    </row>
    <row r="10">
      <c r="A10" s="22" t="inlineStr">
        <is>
          <t>TERRAIN_WATER_D</t>
        </is>
      </c>
      <c r="B10" s="22" t="inlineStr">
        <is>
          <t>Acqua profonda</t>
        </is>
      </c>
      <c r="C10" s="22" t="inlineStr">
        <is>
          <t>Water</t>
        </is>
      </c>
      <c r="D10" s="22" t="n">
        <v>4</v>
      </c>
      <c r="E10" s="22" t="n">
        <v>0</v>
      </c>
      <c r="F10" s="22" t="n">
        <v>1</v>
      </c>
      <c r="G10" s="22" t="n">
        <v>0</v>
      </c>
      <c r="H10" s="22" t="n">
        <v>0</v>
      </c>
      <c r="I10" s="22" t="inlineStr">
        <is>
          <t>No</t>
        </is>
      </c>
      <c r="J10" s="22" t="inlineStr">
        <is>
          <t>Sì</t>
        </is>
      </c>
      <c r="K10" s="22" t="inlineStr">
        <is>
          <t>No</t>
        </is>
      </c>
      <c r="L10" s="22" t="n">
        <v>6</v>
      </c>
      <c r="M10" s="22" t="n">
        <v>-1</v>
      </c>
      <c r="N10" s="22" t="n">
        <v>0</v>
      </c>
      <c r="O10" s="22" t="inlineStr">
        <is>
          <t>Blocca unità non abilitate</t>
        </is>
      </c>
      <c r="P10" s="22" t="n">
        <v>-1</v>
      </c>
      <c r="Q10" s="22" t="n">
        <v>-5</v>
      </c>
      <c r="R10" s="22" t="n">
        <v>0</v>
      </c>
      <c r="S10" s="22" t="n">
        <v>5</v>
      </c>
      <c r="T10" s="22" t="inlineStr">
        <is>
          <t>Surface</t>
        </is>
      </c>
      <c r="U10" s="22" t="inlineStr">
        <is>
          <t>Espansione</t>
        </is>
      </c>
    </row>
    <row r="11">
      <c r="A11" s="22" t="inlineStr">
        <is>
          <t>TERRAIN_ICE</t>
        </is>
      </c>
      <c r="B11" s="22" t="inlineStr">
        <is>
          <t>Ghiaccio</t>
        </is>
      </c>
      <c r="C11" s="22" t="inlineStr">
        <is>
          <t>Ice</t>
        </is>
      </c>
      <c r="D11" s="22" t="n">
        <v>1</v>
      </c>
      <c r="E11" s="22" t="n">
        <v>0</v>
      </c>
      <c r="F11" s="22" t="n">
        <v>0</v>
      </c>
      <c r="G11" s="22" t="n">
        <v>0</v>
      </c>
      <c r="H11" s="22" t="n">
        <v>0</v>
      </c>
      <c r="I11" s="22" t="inlineStr">
        <is>
          <t>No</t>
        </is>
      </c>
      <c r="J11" s="22" t="inlineStr">
        <is>
          <t>No</t>
        </is>
      </c>
      <c r="K11" s="22" t="inlineStr">
        <is>
          <t>No</t>
        </is>
      </c>
      <c r="L11" s="22" t="n">
        <v>2</v>
      </c>
      <c r="M11" s="22" t="n">
        <v>0</v>
      </c>
      <c r="N11" s="22" t="n">
        <v>0</v>
      </c>
      <c r="O11" s="22" t="inlineStr">
        <is>
          <t>Rischio scivolamento deterministico</t>
        </is>
      </c>
      <c r="P11" s="22" t="n">
        <v>0</v>
      </c>
      <c r="Q11" s="22" t="n">
        <v>0</v>
      </c>
      <c r="R11" s="22" t="n">
        <v>0</v>
      </c>
      <c r="S11" s="22" t="n">
        <v>0</v>
      </c>
      <c r="T11" s="22" t="inlineStr">
        <is>
          <t>Surface</t>
        </is>
      </c>
      <c r="U11" s="22" t="inlineStr">
        <is>
          <t>Slice</t>
        </is>
      </c>
    </row>
    <row r="12">
      <c r="A12" s="22" t="inlineStr">
        <is>
          <t>TERRAIN_MUD</t>
        </is>
      </c>
      <c r="B12" s="22" t="inlineStr">
        <is>
          <t>Fango</t>
        </is>
      </c>
      <c r="C12" s="22" t="inlineStr">
        <is>
          <t>Mud</t>
        </is>
      </c>
      <c r="D12" s="22" t="n">
        <v>3</v>
      </c>
      <c r="E12" s="22" t="n">
        <v>0</v>
      </c>
      <c r="F12" s="22" t="n">
        <v>1</v>
      </c>
      <c r="G12" s="22" t="n">
        <v>0</v>
      </c>
      <c r="H12" s="22" t="n">
        <v>0</v>
      </c>
      <c r="I12" s="22" t="inlineStr">
        <is>
          <t>No</t>
        </is>
      </c>
      <c r="J12" s="22" t="inlineStr">
        <is>
          <t>No</t>
        </is>
      </c>
      <c r="K12" s="22" t="inlineStr">
        <is>
          <t>No</t>
        </is>
      </c>
      <c r="L12" s="22" t="n">
        <v>3</v>
      </c>
      <c r="M12" s="22" t="n">
        <v>0</v>
      </c>
      <c r="N12" s="22" t="n">
        <v>0</v>
      </c>
      <c r="O12" s="22" t="inlineStr">
        <is>
          <t>Riduce dash</t>
        </is>
      </c>
      <c r="P12" s="22" t="n">
        <v>0</v>
      </c>
      <c r="Q12" s="22" t="n">
        <v>-5</v>
      </c>
      <c r="R12" s="22" t="n">
        <v>0</v>
      </c>
      <c r="S12" s="22" t="n">
        <v>0</v>
      </c>
      <c r="T12" s="22" t="inlineStr">
        <is>
          <t>Surface</t>
        </is>
      </c>
      <c r="U12" s="22" t="inlineStr">
        <is>
          <t>Espansione</t>
        </is>
      </c>
    </row>
    <row r="13">
      <c r="A13" s="22" t="inlineStr">
        <is>
          <t>TERRAIN_VEGETATION</t>
        </is>
      </c>
      <c r="B13" s="22" t="inlineStr">
        <is>
          <t>Vegetazione densa</t>
        </is>
      </c>
      <c r="C13" s="22" t="inlineStr">
        <is>
          <t>Vegetation</t>
        </is>
      </c>
      <c r="D13" s="22" t="n">
        <v>2</v>
      </c>
      <c r="E13" s="22" t="n">
        <v>1</v>
      </c>
      <c r="F13" s="22" t="n">
        <v>3</v>
      </c>
      <c r="G13" s="22" t="n">
        <v>0</v>
      </c>
      <c r="H13" s="22" t="n">
        <v>0</v>
      </c>
      <c r="I13" s="22" t="inlineStr">
        <is>
          <t>Sì</t>
        </is>
      </c>
      <c r="J13" s="22" t="inlineStr">
        <is>
          <t>No</t>
        </is>
      </c>
      <c r="K13" s="22" t="inlineStr">
        <is>
          <t>No</t>
        </is>
      </c>
      <c r="L13" s="22" t="n">
        <v>2</v>
      </c>
      <c r="M13" s="22" t="n">
        <v>0</v>
      </c>
      <c r="N13" s="22" t="n">
        <v>0</v>
      </c>
      <c r="O13" s="22" t="inlineStr">
        <is>
          <t>Occultamento, non cover balistica</t>
        </is>
      </c>
      <c r="P13" s="22" t="n">
        <v>0</v>
      </c>
      <c r="Q13" s="22" t="n">
        <v>-15</v>
      </c>
      <c r="R13" s="22" t="n">
        <v>-8</v>
      </c>
      <c r="S13" s="22" t="n">
        <v>4</v>
      </c>
      <c r="T13" s="22" t="inlineStr">
        <is>
          <t>Surface</t>
        </is>
      </c>
      <c r="U13" s="22" t="inlineStr">
        <is>
          <t>Espansione</t>
        </is>
      </c>
    </row>
    <row r="14">
      <c r="A14" s="22" t="inlineStr">
        <is>
          <t>TERRAIN_SMOKE</t>
        </is>
      </c>
      <c r="B14" s="22" t="inlineStr">
        <is>
          <t>Fumo denso</t>
        </is>
      </c>
      <c r="C14" s="22" t="inlineStr">
        <is>
          <t>Smoke</t>
        </is>
      </c>
      <c r="D14" s="22" t="n">
        <v>2</v>
      </c>
      <c r="E14" s="22" t="n">
        <v>3</v>
      </c>
      <c r="F14" s="22" t="n">
        <v>5</v>
      </c>
      <c r="G14" s="22" t="n">
        <v>0</v>
      </c>
      <c r="H14" s="22" t="n">
        <v>0</v>
      </c>
      <c r="I14" s="22" t="inlineStr">
        <is>
          <t>No</t>
        </is>
      </c>
      <c r="J14" s="22" t="inlineStr">
        <is>
          <t>No</t>
        </is>
      </c>
      <c r="K14" s="22" t="inlineStr">
        <is>
          <t>No</t>
        </is>
      </c>
      <c r="L14" s="22" t="n">
        <v>1</v>
      </c>
      <c r="M14" s="22" t="n">
        <v>0</v>
      </c>
      <c r="N14" s="22" t="n">
        <v>2</v>
      </c>
      <c r="O14" s="22" t="inlineStr">
        <is>
          <t>Riduce identification / blocca LOS per densità</t>
        </is>
      </c>
      <c r="P14" s="22" t="n">
        <v>0</v>
      </c>
      <c r="Q14" s="22" t="n">
        <v>-25</v>
      </c>
      <c r="R14" s="22" t="n">
        <v>-24</v>
      </c>
      <c r="S14" s="22" t="n">
        <v>2</v>
      </c>
      <c r="T14" s="22" t="inlineStr">
        <is>
          <t>Surface</t>
        </is>
      </c>
      <c r="U14" s="22" t="inlineStr">
        <is>
          <t>Slice</t>
        </is>
      </c>
    </row>
    <row r="15">
      <c r="A15" s="22" t="inlineStr">
        <is>
          <t>TERRAIN_FIRE</t>
        </is>
      </c>
      <c r="B15" s="22" t="inlineStr">
        <is>
          <t>Cella in fiamme</t>
        </is>
      </c>
      <c r="C15" s="22" t="inlineStr">
        <is>
          <t>Fire</t>
        </is>
      </c>
      <c r="D15" s="22" t="n">
        <v>2</v>
      </c>
      <c r="E15" s="22" t="n">
        <v>1</v>
      </c>
      <c r="F15" s="22" t="n">
        <v>-3</v>
      </c>
      <c r="G15" s="22" t="n">
        <v>0</v>
      </c>
      <c r="H15" s="22" t="n">
        <v>0</v>
      </c>
      <c r="I15" s="22" t="inlineStr">
        <is>
          <t>No</t>
        </is>
      </c>
      <c r="J15" s="22" t="inlineStr">
        <is>
          <t>No</t>
        </is>
      </c>
      <c r="K15" s="22" t="inlineStr">
        <is>
          <t>No</t>
        </is>
      </c>
      <c r="L15" s="22" t="n">
        <v>5</v>
      </c>
      <c r="M15" s="22" t="n">
        <v>0</v>
      </c>
      <c r="N15" s="22" t="n">
        <v>2</v>
      </c>
      <c r="O15" s="22" t="inlineStr">
        <is>
          <t>Illumina e rivela</t>
        </is>
      </c>
      <c r="P15" s="22" t="n">
        <v>0</v>
      </c>
      <c r="Q15" s="22" t="n">
        <v>15</v>
      </c>
      <c r="R15" s="22" t="n">
        <v>-8</v>
      </c>
      <c r="S15" s="22" t="n">
        <v>0</v>
      </c>
      <c r="T15" s="22" t="inlineStr">
        <is>
          <t>Surface</t>
        </is>
      </c>
      <c r="U15" s="22" t="inlineStr">
        <is>
          <t>Slice</t>
        </is>
      </c>
    </row>
    <row r="16">
      <c r="A16" s="22" t="inlineStr">
        <is>
          <t>TERRAIN_LOW_COVER</t>
        </is>
      </c>
      <c r="B16" s="22" t="inlineStr">
        <is>
          <t>Copertura bassa</t>
        </is>
      </c>
      <c r="C16" s="22" t="inlineStr">
        <is>
          <t>Cover</t>
        </is>
      </c>
      <c r="D16" s="22" t="n">
        <v>2</v>
      </c>
      <c r="E16" s="22" t="n">
        <v>0</v>
      </c>
      <c r="F16" s="22" t="n">
        <v>0</v>
      </c>
      <c r="G16" s="22" t="n">
        <v>2</v>
      </c>
      <c r="H16" s="22" t="n">
        <v>0</v>
      </c>
      <c r="I16" s="22" t="inlineStr">
        <is>
          <t>Dipende</t>
        </is>
      </c>
      <c r="J16" s="22" t="inlineStr">
        <is>
          <t>No</t>
        </is>
      </c>
      <c r="K16" s="22" t="inlineStr">
        <is>
          <t>No</t>
        </is>
      </c>
      <c r="L16" s="22" t="n">
        <v>1</v>
      </c>
      <c r="M16" s="22" t="n">
        <v>0</v>
      </c>
      <c r="N16" s="22" t="n">
        <v>0</v>
      </c>
      <c r="O16" s="22" t="inlineStr">
        <is>
          <t>Direzionale</t>
        </is>
      </c>
      <c r="P16" s="22" t="n">
        <v>0</v>
      </c>
      <c r="Q16" s="22" t="n">
        <v>0</v>
      </c>
      <c r="R16" s="22" t="n">
        <v>0</v>
      </c>
      <c r="S16" s="22" t="n">
        <v>0</v>
      </c>
      <c r="T16" s="22" t="inlineStr">
        <is>
          <t>Surface</t>
        </is>
      </c>
      <c r="U16" s="22" t="inlineStr">
        <is>
          <t>Slice</t>
        </is>
      </c>
    </row>
    <row r="17">
      <c r="A17" s="22" t="inlineStr">
        <is>
          <t>TERRAIN_HIGH_COVER</t>
        </is>
      </c>
      <c r="B17" s="22" t="inlineStr">
        <is>
          <t>Copertura alta</t>
        </is>
      </c>
      <c r="C17" s="22" t="inlineStr">
        <is>
          <t>Cover</t>
        </is>
      </c>
      <c r="D17" s="22" t="n">
        <v>3</v>
      </c>
      <c r="E17" s="22" t="n">
        <v>3</v>
      </c>
      <c r="F17" s="22" t="n">
        <v>1</v>
      </c>
      <c r="G17" s="22" t="n">
        <v>4</v>
      </c>
      <c r="H17" s="22" t="n">
        <v>1</v>
      </c>
      <c r="I17" s="22" t="inlineStr">
        <is>
          <t>Dipende</t>
        </is>
      </c>
      <c r="J17" s="22" t="inlineStr">
        <is>
          <t>No</t>
        </is>
      </c>
      <c r="K17" s="22" t="inlineStr">
        <is>
          <t>No</t>
        </is>
      </c>
      <c r="L17" s="22" t="n">
        <v>1</v>
      </c>
      <c r="M17" s="22" t="n">
        <v>1</v>
      </c>
      <c r="N17" s="22" t="n">
        <v>0</v>
      </c>
      <c r="O17" s="22" t="inlineStr">
        <is>
          <t>Blocca LOS/proiettili</t>
        </is>
      </c>
      <c r="P17" s="22" t="n">
        <v>1</v>
      </c>
      <c r="Q17" s="22" t="n">
        <v>-5</v>
      </c>
      <c r="R17" s="22" t="n">
        <v>-24</v>
      </c>
      <c r="S17" s="22" t="n">
        <v>0</v>
      </c>
      <c r="T17" s="22" t="inlineStr">
        <is>
          <t>Surface</t>
        </is>
      </c>
      <c r="U17" s="22" t="inlineStr">
        <is>
          <t>Slice</t>
        </is>
      </c>
    </row>
    <row r="18">
      <c r="A18" s="22" t="inlineStr">
        <is>
          <t>TERRAIN_DOOR_C</t>
        </is>
      </c>
      <c r="B18" s="22" t="inlineStr">
        <is>
          <t>Porta chiusa</t>
        </is>
      </c>
      <c r="C18" s="22" t="inlineStr">
        <is>
          <t>Door</t>
        </is>
      </c>
      <c r="D18" s="22" t="n">
        <v>1</v>
      </c>
      <c r="E18" s="22" t="n">
        <v>4</v>
      </c>
      <c r="F18" s="22" t="n">
        <v>0</v>
      </c>
      <c r="G18" s="22" t="n">
        <v>3</v>
      </c>
      <c r="H18" s="22" t="n">
        <v>1</v>
      </c>
      <c r="I18" s="22" t="inlineStr">
        <is>
          <t>Sì</t>
        </is>
      </c>
      <c r="J18" s="22" t="inlineStr">
        <is>
          <t>No</t>
        </is>
      </c>
      <c r="K18" s="22" t="inlineStr">
        <is>
          <t>Sì</t>
        </is>
      </c>
      <c r="L18" s="22" t="n">
        <v>1</v>
      </c>
      <c r="M18" s="22" t="n">
        <v>0</v>
      </c>
      <c r="N18" s="22" t="n">
        <v>0</v>
      </c>
      <c r="O18" s="22" t="inlineStr">
        <is>
          <t>Interazione apre/chiude</t>
        </is>
      </c>
      <c r="P18" s="22" t="n">
        <v>0</v>
      </c>
      <c r="Q18" s="22" t="n">
        <v>0</v>
      </c>
      <c r="R18" s="22" t="n">
        <v>-32</v>
      </c>
      <c r="S18" s="22" t="n">
        <v>0</v>
      </c>
      <c r="T18" s="22" t="inlineStr">
        <is>
          <t>Surface</t>
        </is>
      </c>
      <c r="U18" s="22" t="inlineStr">
        <is>
          <t>Slice</t>
        </is>
      </c>
    </row>
    <row r="19">
      <c r="A19" s="22" t="inlineStr">
        <is>
          <t>TERRAIN_DOOR_O</t>
        </is>
      </c>
      <c r="B19" s="22" t="inlineStr">
        <is>
          <t>Porta aperta</t>
        </is>
      </c>
      <c r="C19" s="22" t="inlineStr">
        <is>
          <t>Door</t>
        </is>
      </c>
      <c r="D19" s="22" t="n">
        <v>1</v>
      </c>
      <c r="E19" s="22" t="n">
        <v>0</v>
      </c>
      <c r="F19" s="22" t="n">
        <v>0</v>
      </c>
      <c r="G19" s="22" t="n">
        <v>0</v>
      </c>
      <c r="H19" s="22" t="n">
        <v>0</v>
      </c>
      <c r="I19" s="22" t="inlineStr">
        <is>
          <t>Sì</t>
        </is>
      </c>
      <c r="J19" s="22" t="inlineStr">
        <is>
          <t>No</t>
        </is>
      </c>
      <c r="K19" s="22" t="inlineStr">
        <is>
          <t>Sì</t>
        </is>
      </c>
      <c r="L19" s="22" t="n">
        <v>1</v>
      </c>
      <c r="M19" s="22" t="n">
        <v>0</v>
      </c>
      <c r="N19" s="22" t="n">
        <v>0</v>
      </c>
      <c r="O19" s="22" t="inlineStr">
        <is>
          <t>Linea di vista improvvisa</t>
        </is>
      </c>
      <c r="P19" s="22" t="n">
        <v>0</v>
      </c>
      <c r="Q19" s="22" t="n">
        <v>0</v>
      </c>
      <c r="R19" s="22" t="n">
        <v>0</v>
      </c>
      <c r="S19" s="22" t="n">
        <v>0</v>
      </c>
      <c r="T19" s="22" t="inlineStr">
        <is>
          <t>Surface</t>
        </is>
      </c>
      <c r="U19" s="22" t="inlineStr">
        <is>
          <t>Slice</t>
        </is>
      </c>
    </row>
    <row r="20">
      <c r="A20" s="22" t="inlineStr">
        <is>
          <t>TERRAIN_ELEVATOR</t>
        </is>
      </c>
      <c r="B20" s="22" t="inlineStr">
        <is>
          <t>Piattaforma ascensore</t>
        </is>
      </c>
      <c r="C20" s="22" t="inlineStr">
        <is>
          <t>Elevator</t>
        </is>
      </c>
      <c r="D20" s="22" t="n">
        <v>1</v>
      </c>
      <c r="E20" s="22" t="n">
        <v>0</v>
      </c>
      <c r="F20" s="22" t="n">
        <v>0</v>
      </c>
      <c r="G20" s="22" t="n">
        <v>0</v>
      </c>
      <c r="H20" s="22" t="n">
        <v>0</v>
      </c>
      <c r="I20" s="22" t="inlineStr">
        <is>
          <t>No</t>
        </is>
      </c>
      <c r="J20" s="22" t="inlineStr">
        <is>
          <t>No</t>
        </is>
      </c>
      <c r="K20" s="22" t="inlineStr">
        <is>
          <t>Sì</t>
        </is>
      </c>
      <c r="L20" s="22" t="n">
        <v>2</v>
      </c>
      <c r="M20" s="22" t="n">
        <v>0</v>
      </c>
      <c r="N20" s="22" t="n">
        <v>0</v>
      </c>
      <c r="O20" s="22" t="inlineStr">
        <is>
          <t>Transizione temporizzata</t>
        </is>
      </c>
      <c r="P20" s="22" t="n">
        <v>0</v>
      </c>
      <c r="Q20" s="22" t="n">
        <v>0</v>
      </c>
      <c r="R20" s="22" t="n">
        <v>0</v>
      </c>
      <c r="S20" s="22" t="n">
        <v>0</v>
      </c>
      <c r="T20" s="22" t="inlineStr">
        <is>
          <t>Transit</t>
        </is>
      </c>
      <c r="U20" s="22" t="inlineStr">
        <is>
          <t>Slice</t>
        </is>
      </c>
    </row>
  </sheetData>
  <mergeCells count="1">
    <mergeCell ref="A1:O1"/>
  </mergeCells>
  <conditionalFormatting sqref="D4:D20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20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20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4:G20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2" customWidth="1" style="58" min="2" max="2"/>
    <col width="14" customWidth="1" style="58" min="3" max="3"/>
    <col width="13" customWidth="1" style="58" min="4" max="4"/>
    <col width="11" customWidth="1" style="58" min="5" max="5"/>
    <col width="10" customWidth="1" style="58" min="6" max="6"/>
    <col width="11" customWidth="1" style="58" min="7" max="7"/>
    <col width="16" customWidth="1" style="58" min="8" max="8"/>
    <col width="10" customWidth="1" style="58" min="9" max="9"/>
    <col width="13" customWidth="1" style="58" min="10" max="10"/>
    <col width="21" customWidth="1" style="58" min="11" max="11"/>
    <col width="44" customWidth="1" style="58" min="12" max="12"/>
    <col width="20" customWidth="1" style="58" min="13" max="13"/>
    <col width="18" customWidth="1" style="58" min="14" max="14"/>
    <col width="18" customWidth="1" style="58" min="15" max="15"/>
    <col width="18" customWidth="1" style="58" min="16" max="16"/>
    <col width="18" customWidth="1" style="58" min="17" max="17"/>
    <col width="18" customWidth="1" style="58" min="18" max="18"/>
  </cols>
  <sheetData>
    <row r="1" ht="30" customHeight="1" s="58">
      <c r="A1" s="9" t="inlineStr">
        <is>
          <t>Hazard ed effetti ambientali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 ht="34" customHeight="1" s="58">
      <c r="A3" s="14" t="inlineStr">
        <is>
          <t>Hazard_ID</t>
        </is>
      </c>
      <c r="B3" s="14" t="inlineStr">
        <is>
          <t>Nome</t>
        </is>
      </c>
      <c r="C3" s="14" t="inlineStr">
        <is>
          <t>Tipo</t>
        </is>
      </c>
      <c r="D3" s="14" t="inlineStr">
        <is>
          <t>Danno_Turno</t>
        </is>
      </c>
      <c r="E3" s="14" t="inlineStr">
        <is>
          <t>Control</t>
        </is>
      </c>
      <c r="F3" s="14" t="inlineStr">
        <is>
          <t>Durata</t>
        </is>
      </c>
      <c r="G3" s="14" t="inlineStr">
        <is>
          <t>Max_Stack</t>
        </is>
      </c>
      <c r="H3" s="14" t="inlineStr">
        <is>
          <t>Propagation_pct</t>
        </is>
      </c>
      <c r="I3" s="14" t="inlineStr">
        <is>
          <t>Opacity</t>
        </is>
      </c>
      <c r="J3" s="14" t="inlineStr">
        <is>
          <t>Reveal_Bonus</t>
        </is>
      </c>
      <c r="K3" s="14" t="inlineStr">
        <is>
          <t>Counter</t>
        </is>
      </c>
      <c r="L3" s="14" t="inlineStr">
        <is>
          <t>Effetto</t>
        </is>
      </c>
      <c r="M3" s="14" t="inlineStr">
        <is>
          <t>Visibility_Audience</t>
        </is>
      </c>
      <c r="N3" s="14" t="inlineStr">
        <is>
          <t>Sight_Mod</t>
        </is>
      </c>
      <c r="O3" s="14" t="inlineStr">
        <is>
          <t>Detection_Mod</t>
        </is>
      </c>
      <c r="P3" s="14" t="inlineStr">
        <is>
          <t>Identification_Mod</t>
        </is>
      </c>
      <c r="Q3" s="14" t="inlineStr">
        <is>
          <t>Max_Contact_Range</t>
        </is>
      </c>
      <c r="R3" s="14" t="inlineStr">
        <is>
          <t>Scope_v0.1</t>
        </is>
      </c>
    </row>
    <row r="4">
      <c r="A4" s="22" t="inlineStr">
        <is>
          <t>HZ_FIRE</t>
        </is>
      </c>
      <c r="B4" s="22" t="inlineStr">
        <is>
          <t>Fuoco</t>
        </is>
      </c>
      <c r="C4" s="22" t="inlineStr">
        <is>
          <t>Thermal</t>
        </is>
      </c>
      <c r="D4" s="22" t="n">
        <v>45</v>
      </c>
      <c r="E4" s="22" t="n">
        <v>2</v>
      </c>
      <c r="F4" s="22" t="n">
        <v>2</v>
      </c>
      <c r="G4" s="22" t="n">
        <v>2</v>
      </c>
      <c r="H4" s="22" t="n">
        <v>35</v>
      </c>
      <c r="I4" s="22" t="n">
        <v>0</v>
      </c>
      <c r="J4" s="22" t="n">
        <v>0</v>
      </c>
      <c r="K4" s="22" t="inlineStr">
        <is>
          <t>Acqua/Freddo</t>
        </is>
      </c>
      <c r="L4" s="22" t="inlineStr">
        <is>
          <t>Illumina; può creare fumo</t>
        </is>
      </c>
      <c r="M4" s="22" t="inlineStr">
        <is>
          <t>Public</t>
        </is>
      </c>
      <c r="N4" s="22" t="n">
        <v>0</v>
      </c>
      <c r="O4" s="22" t="n">
        <v>15</v>
      </c>
      <c r="P4" s="22" t="n">
        <v>0</v>
      </c>
      <c r="Q4" s="22" t="n">
        <v>0</v>
      </c>
      <c r="R4" s="22" t="inlineStr">
        <is>
          <t>Slice</t>
        </is>
      </c>
    </row>
    <row r="5">
      <c r="A5" s="22" t="inlineStr">
        <is>
          <t>HZ_SMOKE</t>
        </is>
      </c>
      <c r="B5" s="22" t="inlineStr">
        <is>
          <t>Fumo</t>
        </is>
      </c>
      <c r="C5" s="22" t="inlineStr">
        <is>
          <t>Vision</t>
        </is>
      </c>
      <c r="D5" s="22" t="n">
        <v>0</v>
      </c>
      <c r="E5" s="22" t="n">
        <v>0</v>
      </c>
      <c r="F5" s="22" t="n">
        <v>3</v>
      </c>
      <c r="G5" s="22" t="n">
        <v>3</v>
      </c>
      <c r="H5" s="22" t="n">
        <v>0</v>
      </c>
      <c r="I5" s="22" t="n">
        <v>3</v>
      </c>
      <c r="J5" s="22" t="n">
        <v>0</v>
      </c>
      <c r="K5" s="22" t="inlineStr">
        <is>
          <t>Vento/Filtro</t>
        </is>
      </c>
      <c r="L5" s="22" t="inlineStr">
        <is>
          <t>Degrada detection/identification</t>
        </is>
      </c>
      <c r="M5" s="22" t="inlineStr">
        <is>
          <t>Team-filtered</t>
        </is>
      </c>
      <c r="N5" s="22" t="n">
        <v>-1</v>
      </c>
      <c r="O5" s="22" t="n">
        <v>-15</v>
      </c>
      <c r="P5" s="22" t="n">
        <v>-24</v>
      </c>
      <c r="Q5" s="22" t="n">
        <v>2</v>
      </c>
      <c r="R5" s="22" t="inlineStr">
        <is>
          <t>Slice</t>
        </is>
      </c>
    </row>
    <row r="6">
      <c r="A6" s="22" t="inlineStr">
        <is>
          <t>HZ_WET</t>
        </is>
      </c>
      <c r="B6" s="22" t="inlineStr">
        <is>
          <t>Bagnato</t>
        </is>
      </c>
      <c r="C6" s="22" t="inlineStr">
        <is>
          <t>Surface</t>
        </is>
      </c>
      <c r="D6" s="22" t="n">
        <v>0</v>
      </c>
      <c r="E6" s="22" t="n">
        <v>0</v>
      </c>
      <c r="F6" s="22" t="n">
        <v>3</v>
      </c>
      <c r="G6" s="22" t="n">
        <v>0</v>
      </c>
      <c r="H6" s="22" t="n">
        <v>0</v>
      </c>
      <c r="I6" s="22" t="n">
        <v>0</v>
      </c>
      <c r="J6" s="22" t="n">
        <v>3</v>
      </c>
      <c r="K6" s="22" t="inlineStr">
        <is>
          <t>Calore</t>
        </is>
      </c>
      <c r="L6" s="22" t="inlineStr">
        <is>
          <t>Abilita combo elettricità</t>
        </is>
      </c>
      <c r="M6" s="22" t="inlineStr">
        <is>
          <t>Public</t>
        </is>
      </c>
      <c r="N6" s="22" t="n">
        <v>0</v>
      </c>
      <c r="O6" s="22" t="n">
        <v>15</v>
      </c>
      <c r="P6" s="22" t="n">
        <v>0</v>
      </c>
      <c r="Q6" s="22" t="n">
        <v>0</v>
      </c>
      <c r="R6" s="22" t="inlineStr">
        <is>
          <t>Slice</t>
        </is>
      </c>
    </row>
    <row r="7">
      <c r="A7" s="22" t="inlineStr">
        <is>
          <t>HZ_ELECTRIC</t>
        </is>
      </c>
      <c r="B7" s="22" t="inlineStr">
        <is>
          <t>Elettrificato</t>
        </is>
      </c>
      <c r="C7" s="22" t="inlineStr">
        <is>
          <t>Electric</t>
        </is>
      </c>
      <c r="D7" s="22" t="n">
        <v>55</v>
      </c>
      <c r="E7" s="22" t="n">
        <v>2</v>
      </c>
      <c r="F7" s="22" t="n">
        <v>1</v>
      </c>
      <c r="G7" s="22" t="n">
        <v>2</v>
      </c>
      <c r="H7" s="22" t="n">
        <v>45</v>
      </c>
      <c r="I7" s="22" t="n">
        <v>0</v>
      </c>
      <c r="J7" s="22" t="n">
        <v>2</v>
      </c>
      <c r="K7" s="22" t="inlineStr">
        <is>
          <t>Isolamento</t>
        </is>
      </c>
      <c r="L7" s="22" t="inlineStr">
        <is>
          <t>Propaga su acqua e metallo</t>
        </is>
      </c>
      <c r="M7" s="22" t="inlineStr">
        <is>
          <t>Public</t>
        </is>
      </c>
      <c r="N7" s="22" t="n">
        <v>0</v>
      </c>
      <c r="O7" s="22" t="n">
        <v>10</v>
      </c>
      <c r="P7" s="22" t="n">
        <v>0</v>
      </c>
      <c r="Q7" s="22" t="n">
        <v>0</v>
      </c>
      <c r="R7" s="22" t="inlineStr">
        <is>
          <t>Slice</t>
        </is>
      </c>
    </row>
    <row r="8">
      <c r="A8" s="22" t="inlineStr">
        <is>
          <t>HZ_ICE</t>
        </is>
      </c>
      <c r="B8" s="22" t="inlineStr">
        <is>
          <t>Ghiacciato</t>
        </is>
      </c>
      <c r="C8" s="22" t="inlineStr">
        <is>
          <t>Cold</t>
        </is>
      </c>
      <c r="D8" s="22" t="n">
        <v>15</v>
      </c>
      <c r="E8" s="22" t="n">
        <v>1</v>
      </c>
      <c r="F8" s="22" t="n">
        <v>2</v>
      </c>
      <c r="G8" s="22" t="n">
        <v>2</v>
      </c>
      <c r="H8" s="22" t="n">
        <v>0</v>
      </c>
      <c r="I8" s="22" t="n">
        <v>0</v>
      </c>
      <c r="J8" s="22" t="n">
        <v>0</v>
      </c>
      <c r="K8" s="22" t="inlineStr">
        <is>
          <t>Fuoco</t>
        </is>
      </c>
      <c r="L8" s="22" t="inlineStr">
        <is>
          <t>Riduce attrito e move cost</t>
        </is>
      </c>
      <c r="M8" s="22" t="inlineStr">
        <is>
          <t>Public</t>
        </is>
      </c>
      <c r="N8" s="22" t="n">
        <v>0</v>
      </c>
      <c r="O8" s="22" t="n">
        <v>0</v>
      </c>
      <c r="P8" s="22" t="n">
        <v>0</v>
      </c>
      <c r="Q8" s="22" t="n">
        <v>0</v>
      </c>
      <c r="R8" s="22" t="inlineStr">
        <is>
          <t>Slice</t>
        </is>
      </c>
    </row>
    <row r="9">
      <c r="A9" s="22" t="inlineStr">
        <is>
          <t>HZ_BURNING_OIL</t>
        </is>
      </c>
      <c r="B9" s="22" t="inlineStr">
        <is>
          <t>Olio in fiamme</t>
        </is>
      </c>
      <c r="C9" s="22" t="inlineStr">
        <is>
          <t>Thermal</t>
        </is>
      </c>
      <c r="D9" s="22" t="n">
        <v>70</v>
      </c>
      <c r="E9" s="22" t="n">
        <v>3</v>
      </c>
      <c r="F9" s="22" t="n">
        <v>3</v>
      </c>
      <c r="G9" s="22" t="n">
        <v>3</v>
      </c>
      <c r="H9" s="22" t="n">
        <v>60</v>
      </c>
      <c r="I9" s="22" t="n">
        <v>1</v>
      </c>
      <c r="J9" s="22" t="n">
        <v>0</v>
      </c>
      <c r="K9" s="22" t="inlineStr">
        <is>
          <t>Acqua non consigliata</t>
        </is>
      </c>
      <c r="L9" s="22" t="inlineStr">
        <is>
          <t>Fuoco persistente ad alta area denial</t>
        </is>
      </c>
      <c r="M9" s="22" t="inlineStr">
        <is>
          <t>Public</t>
        </is>
      </c>
      <c r="N9" s="22" t="n">
        <v>0</v>
      </c>
      <c r="O9" s="22" t="n">
        <v>-5</v>
      </c>
      <c r="P9" s="22" t="n">
        <v>-8</v>
      </c>
      <c r="Q9" s="22" t="n">
        <v>4</v>
      </c>
      <c r="R9" s="22" t="inlineStr">
        <is>
          <t>Espansione</t>
        </is>
      </c>
    </row>
    <row r="10">
      <c r="A10" s="22" t="inlineStr">
        <is>
          <t>HZ_STEAM</t>
        </is>
      </c>
      <c r="B10" s="22" t="inlineStr">
        <is>
          <t>Vapore</t>
        </is>
      </c>
      <c r="C10" s="22" t="inlineStr">
        <is>
          <t>Vision</t>
        </is>
      </c>
      <c r="D10" s="22" t="n">
        <v>20</v>
      </c>
      <c r="E10" s="22" t="n">
        <v>1</v>
      </c>
      <c r="F10" s="22" t="n">
        <v>1</v>
      </c>
      <c r="G10" s="22" t="n">
        <v>2</v>
      </c>
      <c r="H10" s="22" t="n">
        <v>0</v>
      </c>
      <c r="I10" s="22" t="n">
        <v>2</v>
      </c>
      <c r="J10" s="22" t="n">
        <v>0</v>
      </c>
      <c r="K10" s="22" t="inlineStr">
        <is>
          <t>Freddo/Vento</t>
        </is>
      </c>
      <c r="L10" s="22" t="inlineStr">
        <is>
          <t>Contatto incerto vicino</t>
        </is>
      </c>
      <c r="M10" s="22" t="inlineStr">
        <is>
          <t>Team-filtered</t>
        </is>
      </c>
      <c r="N10" s="22" t="n">
        <v>-1</v>
      </c>
      <c r="O10" s="22" t="n">
        <v>-10</v>
      </c>
      <c r="P10" s="22" t="n">
        <v>-16</v>
      </c>
      <c r="Q10" s="22" t="n">
        <v>3</v>
      </c>
      <c r="R10" s="22" t="inlineStr">
        <is>
          <t>Espansione</t>
        </is>
      </c>
    </row>
    <row r="11">
      <c r="A11" s="22" t="inlineStr">
        <is>
          <t>HZ_DARKNESS</t>
        </is>
      </c>
      <c r="B11" s="22" t="inlineStr">
        <is>
          <t>Oscurità</t>
        </is>
      </c>
      <c r="C11" s="22" t="inlineStr">
        <is>
          <t>Vision</t>
        </is>
      </c>
      <c r="D11" s="22" t="n">
        <v>0</v>
      </c>
      <c r="E11" s="22" t="n">
        <v>0</v>
      </c>
      <c r="F11" s="22" t="n">
        <v>0</v>
      </c>
      <c r="G11" s="22" t="n">
        <v>3</v>
      </c>
      <c r="H11" s="22" t="n">
        <v>0</v>
      </c>
      <c r="I11" s="22" t="n">
        <v>2</v>
      </c>
      <c r="J11" s="22" t="n">
        <v>0</v>
      </c>
      <c r="K11" s="22" t="inlineStr">
        <is>
          <t>Illuminazione</t>
        </is>
      </c>
      <c r="L11" s="22" t="inlineStr">
        <is>
          <t>Riduce identification a distanza</t>
        </is>
      </c>
      <c r="M11" s="22" t="inlineStr">
        <is>
          <t>Team-filtered</t>
        </is>
      </c>
      <c r="N11" s="22" t="n">
        <v>-2</v>
      </c>
      <c r="O11" s="22" t="n">
        <v>-10</v>
      </c>
      <c r="P11" s="22" t="n">
        <v>-16</v>
      </c>
      <c r="Q11" s="22" t="n">
        <v>3</v>
      </c>
      <c r="R11" s="22" t="inlineStr">
        <is>
          <t>Espansione</t>
        </is>
      </c>
    </row>
    <row r="12">
      <c r="A12" s="22" t="inlineStr">
        <is>
          <t>HZ_STATIC_FIELD</t>
        </is>
      </c>
      <c r="B12" s="22" t="inlineStr">
        <is>
          <t>Campo statico</t>
        </is>
      </c>
      <c r="C12" s="22" t="inlineStr">
        <is>
          <t>Electric</t>
        </is>
      </c>
      <c r="D12" s="22" t="n">
        <v>25</v>
      </c>
      <c r="E12" s="22" t="n">
        <v>1</v>
      </c>
      <c r="F12" s="22" t="n">
        <v>2</v>
      </c>
      <c r="G12" s="22" t="n">
        <v>2</v>
      </c>
      <c r="H12" s="22" t="n">
        <v>0</v>
      </c>
      <c r="I12" s="22" t="n">
        <v>1</v>
      </c>
      <c r="J12" s="22" t="n">
        <v>2</v>
      </c>
      <c r="K12" s="22" t="inlineStr">
        <is>
          <t>Grounding</t>
        </is>
      </c>
      <c r="L12" s="22" t="inlineStr">
        <is>
          <t>Disturba sensori e stealth tech</t>
        </is>
      </c>
      <c r="M12" s="22" t="inlineStr">
        <is>
          <t>Team-filtered</t>
        </is>
      </c>
      <c r="N12" s="22" t="n">
        <v>0</v>
      </c>
      <c r="O12" s="22" t="n">
        <v>5</v>
      </c>
      <c r="P12" s="22" t="n">
        <v>-8</v>
      </c>
      <c r="Q12" s="22" t="n">
        <v>0</v>
      </c>
      <c r="R12" s="22" t="inlineStr">
        <is>
          <t>Espansione</t>
        </is>
      </c>
    </row>
  </sheetData>
  <mergeCells count="1">
    <mergeCell ref="A1:M1"/>
  </mergeCells>
  <conditionalFormatting sqref="D4:D1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12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12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4:H12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4:J12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17" customWidth="1" style="58" min="2" max="2"/>
    <col width="17" customWidth="1" style="58" min="3" max="3"/>
    <col width="17" customWidth="1" style="58" min="4" max="4"/>
    <col width="17" customWidth="1" style="58" min="5" max="5"/>
    <col width="17" customWidth="1" style="58" min="6" max="6"/>
    <col width="17" customWidth="1" style="58" min="7" max="7"/>
    <col width="17" customWidth="1" style="58" min="8" max="8"/>
    <col width="17" customWidth="1" style="58" min="9" max="9"/>
    <col width="17" customWidth="1" style="58" min="10" max="10"/>
    <col width="17" customWidth="1" style="58" min="11" max="11"/>
    <col width="17" customWidth="1" style="58" min="12" max="12"/>
  </cols>
  <sheetData>
    <row r="1" ht="30" customHeight="1" s="58">
      <c r="A1" s="9" t="inlineStr">
        <is>
          <t>Matrice effetto × superficie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 ht="34" customHeight="1" s="58">
      <c r="A3" s="14" t="inlineStr">
        <is>
          <t>Effetto\Superficie</t>
        </is>
      </c>
      <c r="B3" s="14" t="inlineStr">
        <is>
          <t>Terreno libero</t>
        </is>
      </c>
      <c r="C3" s="14" t="inlineStr">
        <is>
          <t>Vegetazione</t>
        </is>
      </c>
      <c r="D3" s="14" t="inlineStr">
        <is>
          <t>Acqua bassa</t>
        </is>
      </c>
      <c r="E3" s="14" t="inlineStr">
        <is>
          <t>Acqua profonda</t>
        </is>
      </c>
      <c r="F3" s="14" t="inlineStr">
        <is>
          <t>Ghiaccio</t>
        </is>
      </c>
      <c r="G3" s="14" t="inlineStr">
        <is>
          <t>Fango</t>
        </is>
      </c>
      <c r="H3" s="14" t="inlineStr">
        <is>
          <t>Metallo/Ponte</t>
        </is>
      </c>
      <c r="I3" s="14" t="inlineStr">
        <is>
          <t>Cover legno</t>
        </is>
      </c>
      <c r="J3" s="14" t="inlineStr">
        <is>
          <t>Cover pietra</t>
        </is>
      </c>
      <c r="K3" s="14" t="inlineStr">
        <is>
          <t>Fumo</t>
        </is>
      </c>
      <c r="L3" s="14" t="inlineStr">
        <is>
          <t>Porta</t>
        </is>
      </c>
    </row>
    <row r="4">
      <c r="A4" s="22" t="inlineStr">
        <is>
          <t>Fuoco</t>
        </is>
      </c>
      <c r="B4" s="22" t="inlineStr">
        <is>
          <t>Persiste</t>
        </is>
      </c>
      <c r="C4" s="22" t="inlineStr">
        <is>
          <t>Propaga++</t>
        </is>
      </c>
      <c r="D4" s="22" t="inlineStr">
        <is>
          <t>Si spegne</t>
        </is>
      </c>
      <c r="E4" s="22" t="inlineStr">
        <is>
          <t>Si spegne</t>
        </is>
      </c>
      <c r="F4" s="22" t="inlineStr">
        <is>
          <t>Scioglie</t>
        </is>
      </c>
      <c r="G4" s="22" t="inlineStr">
        <is>
          <t>Vapore lieve</t>
        </is>
      </c>
      <c r="H4" s="22" t="inlineStr">
        <is>
          <t>Riscalda</t>
        </is>
      </c>
      <c r="I4" s="22" t="inlineStr">
        <is>
          <t>Propaga+</t>
        </is>
      </c>
      <c r="J4" s="22" t="inlineStr">
        <is>
          <t>Nessuno</t>
        </is>
      </c>
      <c r="K4" s="22" t="inlineStr">
        <is>
          <t>Aumenta fumo</t>
        </is>
      </c>
      <c r="L4" s="22" t="inlineStr">
        <is>
          <t>Danneggia</t>
        </is>
      </c>
    </row>
    <row r="5">
      <c r="A5" s="22" t="inlineStr">
        <is>
          <t>Acqua</t>
        </is>
      </c>
      <c r="B5" s="22" t="inlineStr">
        <is>
          <t>Bagnato</t>
        </is>
      </c>
      <c r="C5" s="22" t="inlineStr">
        <is>
          <t>Bagnato</t>
        </is>
      </c>
      <c r="D5" s="22" t="inlineStr">
        <is>
          <t>Amplifica</t>
        </is>
      </c>
      <c r="E5" s="22" t="inlineStr">
        <is>
          <t>Amplifica</t>
        </is>
      </c>
      <c r="F5" s="22" t="inlineStr">
        <is>
          <t>Scioglie lento</t>
        </is>
      </c>
      <c r="G5" s="22" t="inlineStr">
        <is>
          <t>Diluisce</t>
        </is>
      </c>
      <c r="H5" s="22" t="inlineStr">
        <is>
          <t>Conduce</t>
        </is>
      </c>
      <c r="I5" s="22" t="inlineStr">
        <is>
          <t>Spegne</t>
        </is>
      </c>
      <c r="J5" s="22" t="inlineStr">
        <is>
          <t>Nessuno</t>
        </is>
      </c>
      <c r="K5" s="22" t="inlineStr">
        <is>
          <t>Riduce</t>
        </is>
      </c>
      <c r="L5" s="22" t="inlineStr">
        <is>
          <t>Nessuno</t>
        </is>
      </c>
    </row>
    <row r="6">
      <c r="A6" s="22" t="inlineStr">
        <is>
          <t>Elettricità</t>
        </is>
      </c>
      <c r="B6" s="22" t="inlineStr">
        <is>
          <t>Punto</t>
        </is>
      </c>
      <c r="C6" s="22" t="inlineStr">
        <is>
          <t>Punto</t>
        </is>
      </c>
      <c r="D6" s="22" t="inlineStr">
        <is>
          <t>Catena++</t>
        </is>
      </c>
      <c r="E6" s="22" t="inlineStr">
        <is>
          <t>Catena+++</t>
        </is>
      </c>
      <c r="F6" s="22" t="inlineStr">
        <is>
          <t>Punto</t>
        </is>
      </c>
      <c r="G6" s="22" t="inlineStr">
        <is>
          <t>Punto</t>
        </is>
      </c>
      <c r="H6" s="22" t="inlineStr">
        <is>
          <t>Catena+</t>
        </is>
      </c>
      <c r="I6" s="22" t="inlineStr">
        <is>
          <t>Punto</t>
        </is>
      </c>
      <c r="J6" s="22" t="inlineStr">
        <is>
          <t>Punto</t>
        </is>
      </c>
      <c r="K6" s="22" t="inlineStr">
        <is>
          <t>Disturbo</t>
        </is>
      </c>
      <c r="L6" s="22" t="inlineStr">
        <is>
          <t>Attiva/Blocca</t>
        </is>
      </c>
    </row>
    <row r="7">
      <c r="A7" s="22" t="inlineStr">
        <is>
          <t>Freddo</t>
        </is>
      </c>
      <c r="B7" s="22" t="inlineStr">
        <is>
          <t>Rallenta</t>
        </is>
      </c>
      <c r="C7" s="22" t="inlineStr">
        <is>
          <t>Fragile</t>
        </is>
      </c>
      <c r="D7" s="22" t="inlineStr">
        <is>
          <t>Congela</t>
        </is>
      </c>
      <c r="E7" s="22" t="inlineStr">
        <is>
          <t>Congela parziale</t>
        </is>
      </c>
      <c r="F7" s="22" t="inlineStr">
        <is>
          <t>Amplifica</t>
        </is>
      </c>
      <c r="G7" s="22" t="inlineStr">
        <is>
          <t>Indurisce</t>
        </is>
      </c>
      <c r="H7" s="22" t="inlineStr">
        <is>
          <t>Punto</t>
        </is>
      </c>
      <c r="I7" s="22" t="inlineStr">
        <is>
          <t>Fragilizza</t>
        </is>
      </c>
      <c r="J7" s="22" t="inlineStr">
        <is>
          <t>Nessuno</t>
        </is>
      </c>
      <c r="K7" s="22" t="inlineStr">
        <is>
          <t>Condensa</t>
        </is>
      </c>
      <c r="L7" s="22" t="inlineStr">
        <is>
          <t>Blocca</t>
        </is>
      </c>
    </row>
    <row r="8">
      <c r="A8" s="22" t="inlineStr">
        <is>
          <t>Esplosione</t>
        </is>
      </c>
      <c r="B8" s="22" t="inlineStr">
        <is>
          <t>AoE</t>
        </is>
      </c>
      <c r="C8" s="22" t="inlineStr">
        <is>
          <t>Distrugge</t>
        </is>
      </c>
      <c r="D8" s="22" t="inlineStr">
        <is>
          <t>Schizzi</t>
        </is>
      </c>
      <c r="E8" s="22" t="inlineStr">
        <is>
          <t>Onde</t>
        </is>
      </c>
      <c r="F8" s="22" t="inlineStr">
        <is>
          <t>Frattura</t>
        </is>
      </c>
      <c r="G8" s="22" t="inlineStr">
        <is>
          <t>Crateri</t>
        </is>
      </c>
      <c r="H8" s="22" t="inlineStr">
        <is>
          <t>Risonanza</t>
        </is>
      </c>
      <c r="I8" s="22" t="inlineStr">
        <is>
          <t>Distrugge</t>
        </is>
      </c>
      <c r="J8" s="22" t="inlineStr">
        <is>
          <t>Danno ridotto</t>
        </is>
      </c>
      <c r="K8" s="22" t="inlineStr">
        <is>
          <t>Disperde</t>
        </is>
      </c>
      <c r="L8" s="22" t="inlineStr">
        <is>
          <t>Sfonda</t>
        </is>
      </c>
    </row>
    <row r="9">
      <c r="A9" s="22" t="inlineStr">
        <is>
          <t>Vento</t>
        </is>
      </c>
      <c r="B9" s="22" t="inlineStr">
        <is>
          <t>Nessuno</t>
        </is>
      </c>
      <c r="C9" s="22" t="inlineStr">
        <is>
          <t>Muove</t>
        </is>
      </c>
      <c r="D9" s="22" t="inlineStr">
        <is>
          <t>Onde</t>
        </is>
      </c>
      <c r="E9" s="22" t="inlineStr">
        <is>
          <t>Onde</t>
        </is>
      </c>
      <c r="F9" s="22" t="inlineStr">
        <is>
          <t>Nessuno</t>
        </is>
      </c>
      <c r="G9" s="22" t="inlineStr">
        <is>
          <t>Asciuga</t>
        </is>
      </c>
      <c r="H9" s="22" t="inlineStr">
        <is>
          <t>Nessuno</t>
        </is>
      </c>
      <c r="I9" s="22" t="inlineStr">
        <is>
          <t>Nessuno</t>
        </is>
      </c>
      <c r="J9" s="22" t="inlineStr">
        <is>
          <t>Nessuno</t>
        </is>
      </c>
      <c r="K9" s="22" t="inlineStr">
        <is>
          <t>Disperde</t>
        </is>
      </c>
      <c r="L9" s="22" t="inlineStr">
        <is>
          <t>Nessuno</t>
        </is>
      </c>
    </row>
    <row r="10">
      <c r="A10" s="22" t="inlineStr">
        <is>
          <t>Fumo</t>
        </is>
      </c>
      <c r="B10" s="22" t="inlineStr">
        <is>
          <t>Occulta</t>
        </is>
      </c>
      <c r="C10" s="22" t="inlineStr">
        <is>
          <t>Occulta++</t>
        </is>
      </c>
      <c r="D10" s="22" t="inlineStr">
        <is>
          <t>Vapore</t>
        </is>
      </c>
      <c r="E10" s="22" t="inlineStr">
        <is>
          <t>Vapore</t>
        </is>
      </c>
      <c r="F10" s="22" t="inlineStr">
        <is>
          <t>Condensa</t>
        </is>
      </c>
      <c r="G10" s="22" t="inlineStr">
        <is>
          <t>Occulta</t>
        </is>
      </c>
      <c r="H10" s="22" t="inlineStr">
        <is>
          <t>Occulta</t>
        </is>
      </c>
      <c r="I10" s="22" t="inlineStr">
        <is>
          <t>Occulta</t>
        </is>
      </c>
      <c r="J10" s="22" t="inlineStr">
        <is>
          <t>Occulta</t>
        </is>
      </c>
      <c r="K10" s="22" t="inlineStr">
        <is>
          <t>Amplifica</t>
        </is>
      </c>
      <c r="L10" s="22" t="inlineStr">
        <is>
          <t>Filtra</t>
        </is>
      </c>
    </row>
    <row r="11">
      <c r="A11" s="22" t="inlineStr">
        <is>
          <t>Impatto</t>
        </is>
      </c>
      <c r="B11" s="22" t="inlineStr">
        <is>
          <t>Spinta</t>
        </is>
      </c>
      <c r="C11" s="22" t="inlineStr">
        <is>
          <t>Spinta ridotta</t>
        </is>
      </c>
      <c r="D11" s="22" t="inlineStr">
        <is>
          <t>Schizzo/rivela</t>
        </is>
      </c>
      <c r="E11" s="22" t="inlineStr">
        <is>
          <t>Blocca dash</t>
        </is>
      </c>
      <c r="F11" s="22" t="inlineStr">
        <is>
          <t>Scivola</t>
        </is>
      </c>
      <c r="G11" s="22" t="inlineStr">
        <is>
          <t>Blocca</t>
        </is>
      </c>
      <c r="H11" s="22" t="inlineStr">
        <is>
          <t>Rimbalzo</t>
        </is>
      </c>
      <c r="I11" s="22" t="inlineStr">
        <is>
          <t>Distrugge</t>
        </is>
      </c>
      <c r="J11" s="22" t="inlineStr">
        <is>
          <t>Stop</t>
        </is>
      </c>
      <c r="K11" s="22" t="inlineStr">
        <is>
          <t>Disperde</t>
        </is>
      </c>
      <c r="L11" s="22" t="inlineStr">
        <is>
          <t>Sfonda</t>
        </is>
      </c>
    </row>
    <row r="14" ht="34" customHeight="1" s="58">
      <c r="A14" s="31" t="inlineStr">
        <is>
          <t>Le celle descrivono una regola; i valori numerici effettivi risiedono nei fogli Terreni e Hazard. Evitare regole nascoste non data-driven.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</sheetData>
  <mergeCells count="2">
    <mergeCell ref="A14:L14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3" customWidth="1" style="58" min="2" max="2"/>
    <col width="13" customWidth="1" style="58" min="3" max="3"/>
    <col width="10" customWidth="1" style="58" min="4" max="4"/>
    <col width="17" customWidth="1" style="58" min="5" max="5"/>
    <col width="14" customWidth="1" style="58" min="6" max="6"/>
    <col width="13" customWidth="1" style="58" min="7" max="7"/>
    <col width="13" customWidth="1" style="58" min="8" max="8"/>
    <col width="13" customWidth="1" style="58" min="9" max="9"/>
    <col width="46" customWidth="1" style="58" min="10" max="10"/>
    <col width="18" customWidth="1" style="58" min="11" max="11"/>
    <col width="18" customWidth="1" style="58" min="12" max="12"/>
    <col width="18" customWidth="1" style="58" min="13" max="13"/>
    <col width="18" customWidth="1" style="58" min="14" max="14"/>
  </cols>
  <sheetData>
    <row r="1" ht="30" customHeight="1" s="58">
      <c r="A1" s="9" t="inlineStr">
        <is>
          <t>Copertura, occultamento e linea di vista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4" customHeight="1" s="58">
      <c r="A3" s="14" t="inlineStr">
        <is>
          <t>Cover_ID</t>
        </is>
      </c>
      <c r="B3" s="14" t="inlineStr">
        <is>
          <t>Nome</t>
        </is>
      </c>
      <c r="C3" s="14" t="inlineStr">
        <is>
          <t>Cover_Value</t>
        </is>
      </c>
      <c r="D3" s="14" t="inlineStr">
        <is>
          <t>Opacity</t>
        </is>
      </c>
      <c r="E3" s="14" t="inlineStr">
        <is>
          <t>Hit_Reduction_pct</t>
        </is>
      </c>
      <c r="F3" s="14" t="inlineStr">
        <is>
          <t>Concealment</t>
        </is>
      </c>
      <c r="G3" s="14" t="inlineStr">
        <is>
          <t>Height_Class</t>
        </is>
      </c>
      <c r="H3" s="14" t="inlineStr">
        <is>
          <t>Blocks_LOS</t>
        </is>
      </c>
      <c r="I3" s="14" t="inlineStr">
        <is>
          <t>Directional</t>
        </is>
      </c>
      <c r="J3" s="14" t="inlineStr">
        <is>
          <t>Note</t>
        </is>
      </c>
      <c r="K3" s="14" t="inlineStr">
        <is>
          <t>Detection_Mod</t>
        </is>
      </c>
      <c r="L3" s="14" t="inlineStr">
        <is>
          <t>Identification_Mod</t>
        </is>
      </c>
      <c r="M3" s="14" t="inlineStr">
        <is>
          <t>Blocks_Identification</t>
        </is>
      </c>
      <c r="N3" s="14" t="inlineStr">
        <is>
          <t>Scope_v0.1</t>
        </is>
      </c>
    </row>
    <row r="4">
      <c r="A4" s="22" t="inlineStr">
        <is>
          <t>COVER_NONE</t>
        </is>
      </c>
      <c r="B4" s="22" t="inlineStr">
        <is>
          <t>Nessuna</t>
        </is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inlineStr">
        <is>
          <t>No</t>
        </is>
      </c>
      <c r="I4" s="22" t="inlineStr">
        <is>
          <t>No</t>
        </is>
      </c>
      <c r="J4" s="22" t="inlineStr">
        <is>
          <t>Nessuno</t>
        </is>
      </c>
      <c r="K4" s="22" t="n">
        <v>0</v>
      </c>
      <c r="L4" s="22" t="n">
        <v>0</v>
      </c>
      <c r="M4" s="22" t="inlineStr">
        <is>
          <t>No</t>
        </is>
      </c>
      <c r="N4" s="22" t="inlineStr">
        <is>
          <t>Slice</t>
        </is>
      </c>
    </row>
    <row r="5">
      <c r="A5" s="22" t="inlineStr">
        <is>
          <t>COVER_LOW</t>
        </is>
      </c>
      <c r="B5" s="22" t="inlineStr">
        <is>
          <t>Bassa</t>
        </is>
      </c>
      <c r="C5" s="22" t="n">
        <v>2</v>
      </c>
      <c r="D5" s="22" t="n">
        <v>0</v>
      </c>
      <c r="E5" s="22" t="n">
        <v>20</v>
      </c>
      <c r="F5" s="22" t="n">
        <v>0</v>
      </c>
      <c r="G5" s="22" t="n">
        <v>1</v>
      </c>
      <c r="H5" s="22" t="inlineStr">
        <is>
          <t>No</t>
        </is>
      </c>
      <c r="I5" s="22" t="inlineStr">
        <is>
          <t>Sì</t>
        </is>
      </c>
      <c r="J5" s="22" t="inlineStr">
        <is>
          <t>Protegge solo da direzione esposta</t>
        </is>
      </c>
      <c r="K5" s="22" t="n">
        <v>0</v>
      </c>
      <c r="L5" s="22" t="n">
        <v>0</v>
      </c>
      <c r="M5" s="22" t="inlineStr">
        <is>
          <t>No</t>
        </is>
      </c>
      <c r="N5" s="22" t="inlineStr">
        <is>
          <t>Slice</t>
        </is>
      </c>
    </row>
    <row r="6">
      <c r="A6" s="22" t="inlineStr">
        <is>
          <t>COVER_HIGH</t>
        </is>
      </c>
      <c r="B6" s="22" t="inlineStr">
        <is>
          <t>Alta</t>
        </is>
      </c>
      <c r="C6" s="22" t="n">
        <v>4</v>
      </c>
      <c r="D6" s="22" t="n">
        <v>3</v>
      </c>
      <c r="E6" s="22" t="n">
        <v>40</v>
      </c>
      <c r="F6" s="22" t="n">
        <v>1</v>
      </c>
      <c r="G6" s="22" t="n">
        <v>2</v>
      </c>
      <c r="H6" s="22" t="inlineStr">
        <is>
          <t>Sì</t>
        </is>
      </c>
      <c r="I6" s="22" t="inlineStr">
        <is>
          <t>Sì</t>
        </is>
      </c>
      <c r="J6" s="22" t="inlineStr">
        <is>
          <t>Blocca LOS salvo quota superiore</t>
        </is>
      </c>
      <c r="K6" s="22" t="n">
        <v>-5</v>
      </c>
      <c r="L6" s="22" t="n">
        <v>-24</v>
      </c>
      <c r="M6" s="22" t="inlineStr">
        <is>
          <t>Sì</t>
        </is>
      </c>
      <c r="N6" s="22" t="inlineStr">
        <is>
          <t>Slice</t>
        </is>
      </c>
    </row>
    <row r="7">
      <c r="A7" s="22" t="inlineStr">
        <is>
          <t>COVER_SOFT</t>
        </is>
      </c>
      <c r="B7" s="22" t="inlineStr">
        <is>
          <t>Morbida/vegetazione</t>
        </is>
      </c>
      <c r="C7" s="22" t="n">
        <v>0</v>
      </c>
      <c r="D7" s="22" t="n">
        <v>1</v>
      </c>
      <c r="E7" s="22" t="n">
        <v>10</v>
      </c>
      <c r="F7" s="22" t="n">
        <v>3</v>
      </c>
      <c r="G7" s="22" t="n">
        <v>0</v>
      </c>
      <c r="H7" s="22" t="inlineStr">
        <is>
          <t>No</t>
        </is>
      </c>
      <c r="I7" s="22" t="inlineStr">
        <is>
          <t>No</t>
        </is>
      </c>
      <c r="J7" s="22" t="inlineStr">
        <is>
          <t>Occultamento ma nessuna protezione fisica</t>
        </is>
      </c>
      <c r="K7" s="22" t="n">
        <v>-15</v>
      </c>
      <c r="L7" s="22" t="n">
        <v>-8</v>
      </c>
      <c r="M7" s="22" t="inlineStr">
        <is>
          <t>No</t>
        </is>
      </c>
      <c r="N7" s="22" t="inlineStr">
        <is>
          <t>Espansione</t>
        </is>
      </c>
    </row>
    <row r="8">
      <c r="A8" s="22" t="inlineStr">
        <is>
          <t>COVER_SHIELD</t>
        </is>
      </c>
      <c r="B8" s="22" t="inlineStr">
        <is>
          <t>Scudo creato</t>
        </is>
      </c>
      <c r="C8" s="22" t="n">
        <v>3</v>
      </c>
      <c r="D8" s="22" t="n">
        <v>2</v>
      </c>
      <c r="E8" s="22" t="n">
        <v>35</v>
      </c>
      <c r="F8" s="22" t="n">
        <v>1</v>
      </c>
      <c r="G8" s="22" t="n">
        <v>3</v>
      </c>
      <c r="H8" s="22" t="inlineStr">
        <is>
          <t>Sì</t>
        </is>
      </c>
      <c r="I8" s="22" t="inlineStr">
        <is>
          <t>Sì</t>
        </is>
      </c>
      <c r="J8" s="22" t="inlineStr">
        <is>
          <t>Durata e integrità limitate</t>
        </is>
      </c>
      <c r="K8" s="22" t="n">
        <v>-5</v>
      </c>
      <c r="L8" s="22" t="n">
        <v>-16</v>
      </c>
      <c r="M8" s="22" t="inlineStr">
        <is>
          <t>No</t>
        </is>
      </c>
      <c r="N8" s="22" t="inlineStr">
        <is>
          <t>Slice</t>
        </is>
      </c>
    </row>
    <row r="9">
      <c r="A9" s="22" t="inlineStr">
        <is>
          <t>COVER_SMOKE</t>
        </is>
      </c>
      <c r="B9" s="22" t="inlineStr">
        <is>
          <t>Fumo</t>
        </is>
      </c>
      <c r="C9" s="22" t="n">
        <v>0</v>
      </c>
      <c r="D9" s="22" t="n">
        <v>3</v>
      </c>
      <c r="E9" s="22" t="n">
        <v>0</v>
      </c>
      <c r="F9" s="22" t="n">
        <v>4</v>
      </c>
      <c r="G9" s="22" t="n">
        <v>0</v>
      </c>
      <c r="H9" s="22" t="inlineStr">
        <is>
          <t>Sì a densità 3</t>
        </is>
      </c>
      <c r="I9" s="22" t="inlineStr">
        <is>
          <t>No</t>
        </is>
      </c>
      <c r="J9" s="22" t="inlineStr">
        <is>
          <t>Degrada identificazione</t>
        </is>
      </c>
      <c r="K9" s="22" t="n">
        <v>-20</v>
      </c>
      <c r="L9" s="22" t="n">
        <v>-24</v>
      </c>
      <c r="M9" s="22" t="inlineStr">
        <is>
          <t>Sì</t>
        </is>
      </c>
      <c r="N9" s="22" t="inlineStr">
        <is>
          <t>Slice</t>
        </is>
      </c>
    </row>
    <row r="10">
      <c r="A10" s="22" t="inlineStr">
        <is>
          <t>COVER_WINDOW</t>
        </is>
      </c>
      <c r="B10" s="22" t="inlineStr">
        <is>
          <t>Finestra</t>
        </is>
      </c>
      <c r="C10" s="22" t="n">
        <v>1</v>
      </c>
      <c r="D10" s="22" t="n">
        <v>0</v>
      </c>
      <c r="E10" s="22" t="n">
        <v>15</v>
      </c>
      <c r="F10" s="22" t="n">
        <v>0</v>
      </c>
      <c r="G10" s="22" t="n">
        <v>1</v>
      </c>
      <c r="H10" s="22" t="inlineStr">
        <is>
          <t>No</t>
        </is>
      </c>
      <c r="I10" s="22" t="inlineStr">
        <is>
          <t>Sì</t>
        </is>
      </c>
      <c r="J10" s="22" t="inlineStr">
        <is>
          <t>Permette LOS, riduce precisione</t>
        </is>
      </c>
      <c r="K10" s="22" t="n">
        <v>0</v>
      </c>
      <c r="L10" s="22" t="n">
        <v>0</v>
      </c>
      <c r="M10" s="22" t="inlineStr">
        <is>
          <t>No</t>
        </is>
      </c>
      <c r="N10" s="22" t="inlineStr">
        <is>
          <t>Espansione</t>
        </is>
      </c>
    </row>
    <row r="11">
      <c r="A11" s="22" t="inlineStr">
        <is>
          <t>COVER_DESTRUCT</t>
        </is>
      </c>
      <c r="B11" s="22" t="inlineStr">
        <is>
          <t>Distruttibile</t>
        </is>
      </c>
      <c r="C11" s="22" t="n">
        <v>3</v>
      </c>
      <c r="D11" s="22" t="n">
        <v>2</v>
      </c>
      <c r="E11" s="22" t="n">
        <v>30</v>
      </c>
      <c r="F11" s="22" t="n">
        <v>1</v>
      </c>
      <c r="G11" s="22" t="n">
        <v>2</v>
      </c>
      <c r="H11" s="22" t="inlineStr">
        <is>
          <t>Sì</t>
        </is>
      </c>
      <c r="I11" s="22" t="inlineStr">
        <is>
          <t>Sì</t>
        </is>
      </c>
      <c r="J11" s="22" t="inlineStr">
        <is>
          <t>HP cover e cambio revisione chunk</t>
        </is>
      </c>
      <c r="K11" s="22" t="n">
        <v>-5</v>
      </c>
      <c r="L11" s="22" t="n">
        <v>-16</v>
      </c>
      <c r="M11" s="22" t="inlineStr">
        <is>
          <t>No</t>
        </is>
      </c>
      <c r="N11" s="22" t="inlineStr">
        <is>
          <t>Slice</t>
        </is>
      </c>
    </row>
  </sheetData>
  <mergeCells count="1">
    <mergeCell ref="A1:J1"/>
  </mergeCells>
  <conditionalFormatting sqref="C4:C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4:D1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1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4" customWidth="1" style="58" min="1" max="1"/>
    <col width="16" customWidth="1" style="58" min="2" max="2"/>
    <col width="13" customWidth="1" style="58" min="3" max="3"/>
    <col width="24" customWidth="1" style="58" min="4" max="4"/>
    <col width="18" customWidth="1" style="58" min="5" max="5"/>
    <col width="10" customWidth="1" style="58" min="6" max="6"/>
    <col width="32" customWidth="1" style="58" min="7" max="7"/>
    <col width="32" customWidth="1" style="58" min="8" max="8"/>
    <col width="22" customWidth="1" style="58" min="9" max="9"/>
    <col width="28" customWidth="1" style="58" min="10" max="10"/>
  </cols>
  <sheetData>
    <row r="1" ht="30" customHeight="1" s="58">
      <c r="A1" s="9" t="inlineStr">
        <is>
          <t>Equipaggiamento — progressione orizzontale con trade-off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4" customHeight="1" s="58">
      <c r="A3" s="14" t="inlineStr">
        <is>
          <t>Equipment_ID</t>
        </is>
      </c>
      <c r="B3" s="14" t="inlineStr">
        <is>
          <t>Hero_Affinity</t>
        </is>
      </c>
      <c r="C3" s="14" t="inlineStr">
        <is>
          <t>Slot</t>
        </is>
      </c>
      <c r="D3" s="14" t="inlineStr">
        <is>
          <t>Nome</t>
        </is>
      </c>
      <c r="E3" s="14" t="inlineStr">
        <is>
          <t>Ruolo_Affinity</t>
        </is>
      </c>
      <c r="F3" s="14" t="inlineStr">
        <is>
          <t>Budget</t>
        </is>
      </c>
      <c r="G3" s="14" t="inlineStr">
        <is>
          <t>Vantaggio</t>
        </is>
      </c>
      <c r="H3" s="14" t="inlineStr">
        <is>
          <t>Svantaggio</t>
        </is>
      </c>
      <c r="I3" s="14" t="inlineStr">
        <is>
          <t>Sinergia</t>
        </is>
      </c>
      <c r="J3" s="14" t="inlineStr">
        <is>
          <t>Principio</t>
        </is>
      </c>
    </row>
    <row r="4">
      <c r="A4" s="22" t="inlineStr">
        <is>
          <t>EQ_SHIELD_REINFORCER</t>
        </is>
      </c>
      <c r="B4" s="22" t="inlineStr">
        <is>
          <t>Bastion</t>
        </is>
      </c>
      <c r="C4" s="22" t="inlineStr">
        <is>
          <t>Core</t>
        </is>
      </c>
      <c r="D4" s="22" t="inlineStr">
        <is>
          <t>Shield Reinforcer</t>
        </is>
      </c>
      <c r="E4" s="22" t="inlineStr">
        <is>
          <t>Guardian</t>
        </is>
      </c>
      <c r="F4" s="22" t="n">
        <v>2</v>
      </c>
      <c r="G4" s="22" t="inlineStr">
        <is>
          <t>Integrità Scudo +25</t>
        </is>
      </c>
      <c r="H4" s="22" t="inlineStr">
        <is>
          <t>Move -1</t>
        </is>
      </c>
      <c r="I4" s="22" t="inlineStr">
        <is>
          <t>Interpose</t>
        </is>
      </c>
      <c r="J4" s="22" t="inlineStr">
        <is>
          <t>No pure upgrade</t>
        </is>
      </c>
    </row>
    <row r="5">
      <c r="A5" s="22" t="inlineStr">
        <is>
          <t>EQ_KINETIC_BRACE</t>
        </is>
      </c>
      <c r="B5" s="22" t="inlineStr">
        <is>
          <t>Bastion</t>
        </is>
      </c>
      <c r="C5" s="22" t="inlineStr">
        <is>
          <t>Gadget</t>
        </is>
      </c>
      <c r="D5" s="22" t="inlineStr">
        <is>
          <t>Kinetic Brace</t>
        </is>
      </c>
      <c r="E5" s="22" t="inlineStr">
        <is>
          <t>Guardian</t>
        </is>
      </c>
      <c r="F5" s="22" t="n">
        <v>2</v>
      </c>
      <c r="G5" s="22" t="inlineStr">
        <is>
          <t>Knockback resist +3</t>
        </is>
      </c>
      <c r="H5" s="22" t="inlineStr">
        <is>
          <t>Sight -1</t>
        </is>
      </c>
      <c r="I5" s="22" t="inlineStr">
        <is>
          <t>Brace</t>
        </is>
      </c>
      <c r="J5" s="22" t="inlineStr">
        <is>
          <t>Più stabile, meno informazione</t>
        </is>
      </c>
    </row>
    <row r="6">
      <c r="A6" s="22" t="inlineStr">
        <is>
          <t>EQ_MOBILE_BARRIER</t>
        </is>
      </c>
      <c r="B6" s="22" t="inlineStr">
        <is>
          <t>Bastion</t>
        </is>
      </c>
      <c r="C6" s="22" t="inlineStr">
        <is>
          <t>Core</t>
        </is>
      </c>
      <c r="D6" s="22" t="inlineStr">
        <is>
          <t>Mobile Barrier</t>
        </is>
      </c>
      <c r="E6" s="22" t="inlineStr">
        <is>
          <t>Controller</t>
        </is>
      </c>
      <c r="F6" s="22" t="n">
        <v>3</v>
      </c>
      <c r="G6" s="22" t="inlineStr">
        <is>
          <t>Bulwark Arc +1 hex</t>
        </is>
      </c>
      <c r="H6" s="22" t="inlineStr">
        <is>
          <t>Cooldown +1</t>
        </is>
      </c>
      <c r="I6" s="22" t="inlineStr">
        <is>
          <t>Bulwark Arc</t>
        </is>
      </c>
      <c r="J6" s="22" t="inlineStr">
        <is>
          <t>Più controllo, meno frequenza</t>
        </is>
      </c>
    </row>
    <row r="7">
      <c r="A7" s="22" t="inlineStr">
        <is>
          <t>EQ_CRYO_CORE</t>
        </is>
      </c>
      <c r="B7" s="22" t="inlineStr">
        <is>
          <t>Riva</t>
        </is>
      </c>
      <c r="C7" s="22" t="inlineStr">
        <is>
          <t>Core</t>
        </is>
      </c>
      <c r="D7" s="22" t="inlineStr">
        <is>
          <t>Cryo Core</t>
        </is>
      </c>
      <c r="E7" s="22" t="inlineStr">
        <is>
          <t>Controller</t>
        </is>
      </c>
      <c r="F7" s="22" t="n">
        <v>2</v>
      </c>
      <c r="G7" s="22" t="inlineStr">
        <is>
          <t>Freeze +1 durata</t>
        </is>
      </c>
      <c r="H7" s="22" t="inlineStr">
        <is>
          <t>Danno -15</t>
        </is>
      </c>
      <c r="I7" s="22" t="inlineStr">
        <is>
          <t>Hoarfrost</t>
        </is>
      </c>
      <c r="J7" s="22" t="inlineStr">
        <is>
          <t>Controllo vs burst</t>
        </is>
      </c>
    </row>
    <row r="8">
      <c r="A8" s="22" t="inlineStr">
        <is>
          <t>EQ_FROST_SKATES</t>
        </is>
      </c>
      <c r="B8" s="22" t="inlineStr">
        <is>
          <t>Riva</t>
        </is>
      </c>
      <c r="C8" s="22" t="inlineStr">
        <is>
          <t>Boots</t>
        </is>
      </c>
      <c r="D8" s="22" t="inlineStr">
        <is>
          <t>Frost Skates</t>
        </is>
      </c>
      <c r="E8" s="22" t="inlineStr">
        <is>
          <t>Striker</t>
        </is>
      </c>
      <c r="F8" s="22" t="n">
        <v>2</v>
      </c>
      <c r="G8" s="22" t="inlineStr">
        <is>
          <t>Move su ghiaccio +2</t>
        </is>
      </c>
      <c r="H8" s="22" t="inlineStr">
        <is>
          <t>Armor -4</t>
        </is>
      </c>
      <c r="I8" s="22" t="inlineStr">
        <is>
          <t>Cold Step</t>
        </is>
      </c>
      <c r="J8" s="22" t="inlineStr">
        <is>
          <t>Mobilità fragile</t>
        </is>
      </c>
    </row>
    <row r="9">
      <c r="A9" s="22" t="inlineStr">
        <is>
          <t>EQ_WHITEOUT_LENS</t>
        </is>
      </c>
      <c r="B9" s="22" t="inlineStr">
        <is>
          <t>Riva</t>
        </is>
      </c>
      <c r="C9" s="22" t="inlineStr">
        <is>
          <t>Gadget</t>
        </is>
      </c>
      <c r="D9" s="22" t="inlineStr">
        <is>
          <t>Whiteout Lens</t>
        </is>
      </c>
      <c r="E9" s="22" t="inlineStr">
        <is>
          <t>Controller</t>
        </is>
      </c>
      <c r="F9" s="22" t="n">
        <v>3</v>
      </c>
      <c r="G9" s="22" t="inlineStr">
        <is>
          <t>Opacity fumo +1</t>
        </is>
      </c>
      <c r="H9" s="22" t="inlineStr">
        <is>
          <t>Aurora detection -10</t>
        </is>
      </c>
      <c r="I9" s="22" t="inlineStr">
        <is>
          <t>Whiteout</t>
        </is>
      </c>
      <c r="J9" s="22" t="inlineStr">
        <is>
          <t>Nasconde anche l'utilizzatore</t>
        </is>
      </c>
    </row>
    <row r="10">
      <c r="A10" s="22" t="inlineStr">
        <is>
          <t>EQ_RAIL_COIL</t>
        </is>
      </c>
      <c r="B10" s="22" t="inlineStr">
        <is>
          <t>Vektor</t>
        </is>
      </c>
      <c r="C10" s="22" t="inlineStr">
        <is>
          <t>Weapon</t>
        </is>
      </c>
      <c r="D10" s="22" t="inlineStr">
        <is>
          <t>Rail Coil</t>
        </is>
      </c>
      <c r="E10" s="22" t="inlineStr">
        <is>
          <t>Marksman</t>
        </is>
      </c>
      <c r="F10" s="22" t="n">
        <v>3</v>
      </c>
      <c r="G10" s="22" t="inlineStr">
        <is>
          <t>Rail Shot danno +25</t>
        </is>
      </c>
      <c r="H10" s="22" t="inlineStr">
        <is>
          <t>Firma attacco +2</t>
        </is>
      </c>
      <c r="I10" s="22" t="inlineStr">
        <is>
          <t>Rail Shot</t>
        </is>
      </c>
      <c r="J10" s="22" t="inlineStr">
        <is>
          <t>Potenza vs rivelazione</t>
        </is>
      </c>
    </row>
    <row r="11">
      <c r="A11" s="22" t="inlineStr">
        <is>
          <t>EQ_TRACER_MAG</t>
        </is>
      </c>
      <c r="B11" s="22" t="inlineStr">
        <is>
          <t>Vektor</t>
        </is>
      </c>
      <c r="C11" s="22" t="inlineStr">
        <is>
          <t>Ammo</t>
        </is>
      </c>
      <c r="D11" s="22" t="inlineStr">
        <is>
          <t>Tracer Magazine</t>
        </is>
      </c>
      <c r="E11" s="22" t="inlineStr">
        <is>
          <t>Support</t>
        </is>
      </c>
      <c r="F11" s="22" t="n">
        <v>2</v>
      </c>
      <c r="G11" s="22" t="inlineStr">
        <is>
          <t>Tracking +1 turno</t>
        </is>
      </c>
      <c r="H11" s="22" t="inlineStr">
        <is>
          <t>Danno -15</t>
        </is>
      </c>
      <c r="I11" s="22" t="inlineStr">
        <is>
          <t>Tracer Beacon</t>
        </is>
      </c>
      <c r="J11" s="22" t="inlineStr">
        <is>
          <t>Informazione vs danno</t>
        </is>
      </c>
    </row>
    <row r="12">
      <c r="A12" s="22" t="inlineStr">
        <is>
          <t>EQ_STABILIZED_STOCK</t>
        </is>
      </c>
      <c r="B12" s="22" t="inlineStr">
        <is>
          <t>Vektor</t>
        </is>
      </c>
      <c r="C12" s="22" t="inlineStr">
        <is>
          <t>Weapon</t>
        </is>
      </c>
      <c r="D12" s="22" t="inlineStr">
        <is>
          <t>Stabilized Stock</t>
        </is>
      </c>
      <c r="E12" s="22" t="inlineStr">
        <is>
          <t>Marksman</t>
        </is>
      </c>
      <c r="F12" s="22" t="n">
        <v>2</v>
      </c>
      <c r="G12" s="22" t="inlineStr">
        <is>
          <t>Precisione +1</t>
        </is>
      </c>
      <c r="H12" s="22" t="inlineStr">
        <is>
          <t>Move -1 dopo tiro</t>
        </is>
      </c>
      <c r="I12" s="22" t="inlineStr">
        <is>
          <t>Snapshot</t>
        </is>
      </c>
      <c r="J12" s="22" t="inlineStr">
        <is>
          <t>Posizionale</t>
        </is>
      </c>
    </row>
    <row r="13">
      <c r="A13" s="22" t="inlineStr">
        <is>
          <t>EQ_STORM_CAPACITOR</t>
        </is>
      </c>
      <c r="B13" s="22" t="inlineStr">
        <is>
          <t>Flux</t>
        </is>
      </c>
      <c r="C13" s="22" t="inlineStr">
        <is>
          <t>Core</t>
        </is>
      </c>
      <c r="D13" s="22" t="inlineStr">
        <is>
          <t>Storm Capacitor</t>
        </is>
      </c>
      <c r="E13" s="22" t="inlineStr">
        <is>
          <t>Controller</t>
        </is>
      </c>
      <c r="F13" s="22" t="n">
        <v>3</v>
      </c>
      <c r="G13" s="22" t="inlineStr">
        <is>
          <t>Carica max +25</t>
        </is>
      </c>
      <c r="H13" s="22" t="inlineStr">
        <is>
          <t>Regen -5</t>
        </is>
      </c>
      <c r="I13" s="22" t="inlineStr">
        <is>
          <t>Tempest Circuit</t>
        </is>
      </c>
      <c r="J13" s="22" t="inlineStr">
        <is>
          <t>Picco vs ritmo</t>
        </is>
      </c>
    </row>
    <row r="14">
      <c r="A14" s="22" t="inlineStr">
        <is>
          <t>EQ_INSULATED_GUARD</t>
        </is>
      </c>
      <c r="B14" s="22" t="inlineStr">
        <is>
          <t>Flux</t>
        </is>
      </c>
      <c r="C14" s="22" t="inlineStr">
        <is>
          <t>Armor</t>
        </is>
      </c>
      <c r="D14" s="22" t="inlineStr">
        <is>
          <t>Insulated Guard</t>
        </is>
      </c>
      <c r="E14" s="22" t="inlineStr">
        <is>
          <t>Bruiser</t>
        </is>
      </c>
      <c r="F14" s="22" t="n">
        <v>2</v>
      </c>
      <c r="G14" s="22" t="inlineStr">
        <is>
          <t>Electric resist +4</t>
        </is>
      </c>
      <c r="H14" s="22" t="inlineStr">
        <is>
          <t>Cold resist -3</t>
        </is>
      </c>
      <c r="I14" s="22" t="inlineStr">
        <is>
          <t>Static Guard</t>
        </is>
      </c>
      <c r="J14" s="22" t="inlineStr">
        <is>
          <t>Affinità con vulnerabilità</t>
        </is>
      </c>
    </row>
    <row r="15">
      <c r="A15" s="22" t="inlineStr">
        <is>
          <t>EQ_ANCHOR_CHAIN</t>
        </is>
      </c>
      <c r="B15" s="22" t="inlineStr">
        <is>
          <t>Flux</t>
        </is>
      </c>
      <c r="C15" s="22" t="inlineStr">
        <is>
          <t>Weapon</t>
        </is>
      </c>
      <c r="D15" s="22" t="inlineStr">
        <is>
          <t>Anchor Chain</t>
        </is>
      </c>
      <c r="E15" s="22" t="inlineStr">
        <is>
          <t>Controller</t>
        </is>
      </c>
      <c r="F15" s="22" t="n">
        <v>2</v>
      </c>
      <c r="G15" s="22" t="inlineStr">
        <is>
          <t>Sword Anchor range +1</t>
        </is>
      </c>
      <c r="H15" s="22" t="inlineStr">
        <is>
          <t>Return cost +5</t>
        </is>
      </c>
      <c r="I15" s="22" t="inlineStr">
        <is>
          <t>Sword Anchor</t>
        </is>
      </c>
      <c r="J15" s="22" t="inlineStr">
        <is>
          <t>Setup più forte</t>
        </is>
      </c>
    </row>
    <row r="16">
      <c r="A16" s="22" t="inlineStr">
        <is>
          <t>EQ_SMOKE_GRENADE</t>
        </is>
      </c>
      <c r="B16" s="22" t="inlineStr">
        <is>
          <t>Any</t>
        </is>
      </c>
      <c r="C16" s="22" t="inlineStr">
        <is>
          <t>Gadget</t>
        </is>
      </c>
      <c r="D16" s="22" t="inlineStr">
        <is>
          <t>Smoke Grenade</t>
        </is>
      </c>
      <c r="E16" s="22" t="inlineStr">
        <is>
          <t>Infiltrator</t>
        </is>
      </c>
      <c r="F16" s="22" t="n">
        <v>2</v>
      </c>
      <c r="G16" s="22" t="inlineStr">
        <is>
          <t>Crea fumo radius 1</t>
        </is>
      </c>
      <c r="H16" s="22" t="inlineStr">
        <is>
          <t>1 uso/match</t>
        </is>
      </c>
      <c r="I16" s="22" t="inlineStr">
        <is>
          <t>Fast reaction</t>
        </is>
      </c>
      <c r="J16" s="22" t="inlineStr">
        <is>
          <t>Utility consumabile</t>
        </is>
      </c>
    </row>
    <row r="17">
      <c r="A17" s="22" t="inlineStr">
        <is>
          <t>EQ_SENSOR_DRONE</t>
        </is>
      </c>
      <c r="B17" s="22" t="inlineStr">
        <is>
          <t>Any</t>
        </is>
      </c>
      <c r="C17" s="22" t="inlineStr">
        <is>
          <t>Gadget</t>
        </is>
      </c>
      <c r="D17" s="22" t="inlineStr">
        <is>
          <t>Sensor Drone</t>
        </is>
      </c>
      <c r="E17" s="22" t="inlineStr">
        <is>
          <t>Support</t>
        </is>
      </c>
      <c r="F17" s="22" t="n">
        <v>3</v>
      </c>
      <c r="G17" s="22" t="inlineStr">
        <is>
          <t>Reveal zona 2</t>
        </is>
      </c>
      <c r="H17" s="22" t="inlineStr">
        <is>
          <t>Distruttibile; firma alta</t>
        </is>
      </c>
      <c r="I17" s="22" t="inlineStr">
        <is>
          <t>Deploy</t>
        </is>
      </c>
      <c r="J17" s="22" t="inlineStr">
        <is>
          <t>Contro stealth</t>
        </is>
      </c>
    </row>
    <row r="18">
      <c r="A18" s="22" t="inlineStr">
        <is>
          <t>EQ_GRAPPLE</t>
        </is>
      </c>
      <c r="B18" s="22" t="inlineStr">
        <is>
          <t>Any</t>
        </is>
      </c>
      <c r="C18" s="22" t="inlineStr">
        <is>
          <t>Gadget</t>
        </is>
      </c>
      <c r="D18" s="22" t="inlineStr">
        <is>
          <t>Grapple</t>
        </is>
      </c>
      <c r="E18" s="22" t="inlineStr">
        <is>
          <t>Striker</t>
        </is>
      </c>
      <c r="F18" s="22" t="n">
        <v>3</v>
      </c>
      <c r="G18" s="22" t="inlineStr">
        <is>
          <t>Transizione verticale</t>
        </is>
      </c>
      <c r="H18" s="22" t="inlineStr">
        <is>
          <t>No attacco nello stesso turno</t>
        </is>
      </c>
      <c r="I18" s="22" t="inlineStr">
        <is>
          <t>Move</t>
        </is>
      </c>
      <c r="J18" s="22" t="inlineStr">
        <is>
          <t>Mobilità vs azione</t>
        </is>
      </c>
    </row>
    <row r="19">
      <c r="A19" s="22" t="inlineStr">
        <is>
          <t>EQ_INSULATION_BOOTS</t>
        </is>
      </c>
      <c r="B19" s="22" t="inlineStr">
        <is>
          <t>Any</t>
        </is>
      </c>
      <c r="C19" s="22" t="inlineStr">
        <is>
          <t>Boots</t>
        </is>
      </c>
      <c r="D19" s="22" t="inlineStr">
        <is>
          <t>Insulation Boots</t>
        </is>
      </c>
      <c r="E19" s="22" t="inlineStr">
        <is>
          <t>Guardian</t>
        </is>
      </c>
      <c r="F19" s="22" t="n">
        <v>2</v>
      </c>
      <c r="G19" s="22" t="inlineStr">
        <is>
          <t>Ignora 1 shock</t>
        </is>
      </c>
      <c r="H19" s="22" t="inlineStr">
        <is>
          <t>Move acqua +1 costo</t>
        </is>
      </c>
      <c r="I19" s="22" t="inlineStr">
        <is>
          <t>Passive</t>
        </is>
      </c>
      <c r="J19" s="22" t="inlineStr">
        <is>
          <t>Sicurezza vs mobilità</t>
        </is>
      </c>
    </row>
    <row r="20">
      <c r="A20" s="22" t="inlineStr">
        <is>
          <t>EQ_INCENDIARY_AMMO</t>
        </is>
      </c>
      <c r="B20" s="22" t="inlineStr">
        <is>
          <t>Any</t>
        </is>
      </c>
      <c r="C20" s="22" t="inlineStr">
        <is>
          <t>Ammo</t>
        </is>
      </c>
      <c r="D20" s="22" t="inlineStr">
        <is>
          <t>Incendiary Ammo</t>
        </is>
      </c>
      <c r="E20" s="22" t="inlineStr">
        <is>
          <t>Marksman</t>
        </is>
      </c>
      <c r="F20" s="22" t="n">
        <v>2</v>
      </c>
      <c r="G20" s="22" t="inlineStr">
        <is>
          <t>Applica Burning 1</t>
        </is>
      </c>
      <c r="H20" s="22" t="inlineStr">
        <is>
          <t>Danno diretto -20</t>
        </is>
      </c>
      <c r="I20" s="22" t="inlineStr">
        <is>
          <t>Attack</t>
        </is>
      </c>
      <c r="J20" s="22" t="inlineStr">
        <is>
          <t>DoT vs burst</t>
        </is>
      </c>
    </row>
    <row r="21">
      <c r="A21" s="22" t="inlineStr">
        <is>
          <t>EQ_SUPPRESSOR</t>
        </is>
      </c>
      <c r="B21" s="22" t="inlineStr">
        <is>
          <t>Any</t>
        </is>
      </c>
      <c r="C21" s="22" t="inlineStr">
        <is>
          <t>Weapon</t>
        </is>
      </c>
      <c r="D21" s="22" t="inlineStr">
        <is>
          <t>Suppressor</t>
        </is>
      </c>
      <c r="E21" s="22" t="inlineStr">
        <is>
          <t>Infiltrator</t>
        </is>
      </c>
      <c r="F21" s="22" t="n">
        <v>2</v>
      </c>
      <c r="G21" s="22" t="inlineStr">
        <is>
          <t>Firma attacco -2</t>
        </is>
      </c>
      <c r="H21" s="22" t="inlineStr">
        <is>
          <t>Range -1</t>
        </is>
      </c>
      <c r="I21" s="22" t="inlineStr">
        <is>
          <t>Attack</t>
        </is>
      </c>
      <c r="J21" s="22" t="inlineStr">
        <is>
          <t>Stealth vs gittata</t>
        </is>
      </c>
    </row>
    <row r="22">
      <c r="A22" s="22" t="inlineStr">
        <is>
          <t>EQ_MED_PATCH</t>
        </is>
      </c>
      <c r="B22" s="22" t="inlineStr">
        <is>
          <t>Any</t>
        </is>
      </c>
      <c r="C22" s="22" t="inlineStr">
        <is>
          <t>Gadget</t>
        </is>
      </c>
      <c r="D22" s="22" t="inlineStr">
        <is>
          <t>Med Patch</t>
        </is>
      </c>
      <c r="E22" s="22" t="inlineStr">
        <is>
          <t>Support</t>
        </is>
      </c>
      <c r="F22" s="22" t="n">
        <v>1</v>
      </c>
      <c r="G22" s="22" t="inlineStr">
        <is>
          <t>Heal 90</t>
        </is>
      </c>
      <c r="H22" s="22" t="inlineStr">
        <is>
          <t>Consuma reaction slot</t>
        </is>
      </c>
      <c r="I22" s="22" t="inlineStr">
        <is>
          <t>Fast reaction</t>
        </is>
      </c>
      <c r="J22" s="22" t="inlineStr">
        <is>
          <t>Sustain vs risposta</t>
        </is>
      </c>
    </row>
    <row r="23">
      <c r="A23" s="22" t="inlineStr">
        <is>
          <t>EQ_BREACH_CHARGE</t>
        </is>
      </c>
      <c r="B23" s="22" t="inlineStr">
        <is>
          <t>Any</t>
        </is>
      </c>
      <c r="C23" s="22" t="inlineStr">
        <is>
          <t>Gadget</t>
        </is>
      </c>
      <c r="D23" s="22" t="inlineStr">
        <is>
          <t>Breach Charge</t>
        </is>
      </c>
      <c r="E23" s="22" t="inlineStr">
        <is>
          <t>Controller</t>
        </is>
      </c>
      <c r="F23" s="22" t="n">
        <v>2</v>
      </c>
      <c r="G23" s="22" t="inlineStr">
        <is>
          <t>Distrugge porta/cover</t>
        </is>
      </c>
      <c r="H23" s="22" t="inlineStr">
        <is>
          <t>Rumore 10; 1 uso</t>
        </is>
      </c>
      <c r="I23" s="22" t="inlineStr">
        <is>
          <t>Activate</t>
        </is>
      </c>
      <c r="J23" s="22" t="inlineStr">
        <is>
          <t>Map manipulation</t>
        </is>
      </c>
    </row>
  </sheetData>
  <mergeCells count="1">
    <mergeCell ref="A1:J1"/>
  </mergeCells>
  <conditionalFormatting sqref="F4:F2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14" customWidth="1" style="58" min="2" max="2"/>
    <col width="23" customWidth="1" style="58" min="3" max="3"/>
    <col width="38" customWidth="1" style="58" min="4" max="4"/>
    <col width="34" customWidth="1" style="58" min="5" max="5"/>
    <col width="22" customWidth="1" style="58" min="6" max="6"/>
    <col width="18" customWidth="1" style="58" min="7" max="7"/>
  </cols>
  <sheetData>
    <row r="1" ht="30" customHeight="1" s="58">
      <c r="A1" s="9" t="inlineStr">
        <is>
          <t>Talenti, varianti e specializzazioni</t>
        </is>
      </c>
      <c r="B1" s="1" t="n"/>
      <c r="C1" s="1" t="n"/>
      <c r="D1" s="1" t="n"/>
      <c r="E1" s="1" t="n"/>
      <c r="F1" s="1" t="n"/>
      <c r="G1" s="1" t="n"/>
    </row>
    <row r="3" ht="34" customHeight="1" s="58">
      <c r="A3" s="14" t="inlineStr">
        <is>
          <t>Variant_ID</t>
        </is>
      </c>
      <c r="B3" s="14" t="inlineStr">
        <is>
          <t>Hero</t>
        </is>
      </c>
      <c r="C3" s="14" t="inlineStr">
        <is>
          <t>Nome</t>
        </is>
      </c>
      <c r="D3" s="14" t="inlineStr">
        <is>
          <t>Vantaggio</t>
        </is>
      </c>
      <c r="E3" s="14" t="inlineStr">
        <is>
          <t>Svantaggio</t>
        </is>
      </c>
      <c r="F3" s="14" t="inlineStr">
        <is>
          <t>Incompatibile_Con</t>
        </is>
      </c>
      <c r="G3" s="14" t="inlineStr">
        <is>
          <t>Specializzazione</t>
        </is>
      </c>
    </row>
    <row r="4">
      <c r="A4" s="22" t="inlineStr">
        <is>
          <t>VAR_STEEL_01</t>
        </is>
      </c>
      <c r="B4" s="22" t="inlineStr">
        <is>
          <t>Bastion</t>
        </is>
      </c>
      <c r="C4" s="22" t="inlineStr">
        <is>
          <t>Fortress</t>
        </is>
      </c>
      <c r="D4" s="22" t="inlineStr">
        <is>
          <t>Bulwark Arc dura +1 turno</t>
        </is>
      </c>
      <c r="E4" s="22" t="inlineStr">
        <is>
          <t>Move -1</t>
        </is>
      </c>
      <c r="F4" s="22" t="inlineStr">
        <is>
          <t>VAR_STEEL_02</t>
        </is>
      </c>
      <c r="G4" s="22" t="inlineStr">
        <is>
          <t>Guardian</t>
        </is>
      </c>
    </row>
    <row r="5">
      <c r="A5" s="22" t="inlineStr">
        <is>
          <t>VAR_STEEL_02</t>
        </is>
      </c>
      <c r="B5" s="22" t="inlineStr">
        <is>
          <t>Bastion</t>
        </is>
      </c>
      <c r="C5" s="22" t="inlineStr">
        <is>
          <t>Battering Ram</t>
        </is>
      </c>
      <c r="D5" s="22" t="inlineStr">
        <is>
          <t>Shield Bash spinge +1</t>
        </is>
      </c>
      <c r="E5" s="22" t="inlineStr">
        <is>
          <t>Integrità Scudo -20</t>
        </is>
      </c>
      <c r="F5" s="22" t="inlineStr">
        <is>
          <t>VAR_STEEL_01</t>
        </is>
      </c>
      <c r="G5" s="22" t="inlineStr">
        <is>
          <t>Controller</t>
        </is>
      </c>
    </row>
    <row r="6">
      <c r="A6" s="22" t="inlineStr">
        <is>
          <t>VAR_STEEL_03</t>
        </is>
      </c>
      <c r="B6" s="22" t="inlineStr">
        <is>
          <t>Bastion</t>
        </is>
      </c>
      <c r="C6" s="22" t="inlineStr">
        <is>
          <t>Rescue Protocol</t>
        </is>
      </c>
      <c r="D6" s="22" t="inlineStr">
        <is>
          <t>Interpose range +1</t>
        </is>
      </c>
      <c r="E6" s="22" t="inlineStr">
        <is>
          <t>Danno trasferito +10%</t>
        </is>
      </c>
      <c r="F6" s="22" t="inlineStr">
        <is>
          <t>None</t>
        </is>
      </c>
      <c r="G6" s="22" t="inlineStr">
        <is>
          <t>Support</t>
        </is>
      </c>
    </row>
    <row r="7">
      <c r="A7" s="22" t="inlineStr">
        <is>
          <t>VAR_STEEL_04</t>
        </is>
      </c>
      <c r="B7" s="22" t="inlineStr">
        <is>
          <t>Bastion</t>
        </is>
      </c>
      <c r="C7" s="22" t="inlineStr">
        <is>
          <t>Open Guard</t>
        </is>
      </c>
      <c r="D7" s="22" t="inlineStr">
        <is>
          <t>Spotting +2 dietro scudo</t>
        </is>
      </c>
      <c r="E7" s="22" t="inlineStr">
        <is>
          <t>Cover value -1</t>
        </is>
      </c>
      <c r="F7" s="22" t="inlineStr">
        <is>
          <t>None</t>
        </is>
      </c>
      <c r="G7" s="22" t="inlineStr">
        <is>
          <t>Vision</t>
        </is>
      </c>
    </row>
    <row r="8">
      <c r="A8" s="22" t="inlineStr">
        <is>
          <t>VAR_AURORA_01</t>
        </is>
      </c>
      <c r="B8" s="22" t="inlineStr">
        <is>
          <t>Riva</t>
        </is>
      </c>
      <c r="C8" s="22" t="inlineStr">
        <is>
          <t>Black Ice</t>
        </is>
      </c>
      <c r="D8" s="22" t="inlineStr">
        <is>
          <t>Ghiaccio aumenta danno elettrico</t>
        </is>
      </c>
      <c r="E8" s="22" t="inlineStr">
        <is>
          <t>Alleati soffrono scivolamento</t>
        </is>
      </c>
      <c r="F8" s="22" t="inlineStr">
        <is>
          <t>VAR_AURORA_02</t>
        </is>
      </c>
      <c r="G8" s="22" t="inlineStr">
        <is>
          <t>Combo</t>
        </is>
      </c>
    </row>
    <row r="9">
      <c r="A9" s="22" t="inlineStr">
        <is>
          <t>VAR_AURORA_02</t>
        </is>
      </c>
      <c r="B9" s="22" t="inlineStr">
        <is>
          <t>Riva</t>
        </is>
      </c>
      <c r="C9" s="22" t="inlineStr">
        <is>
          <t>Soft Snow</t>
        </is>
      </c>
      <c r="D9" s="22" t="inlineStr">
        <is>
          <t>Alleati ignorano ghiaccio</t>
        </is>
      </c>
      <c r="E9" s="22" t="inlineStr">
        <is>
          <t>Freeze strength -1</t>
        </is>
      </c>
      <c r="F9" s="22" t="inlineStr">
        <is>
          <t>VAR_AURORA_01</t>
        </is>
      </c>
      <c r="G9" s="22" t="inlineStr">
        <is>
          <t>Support</t>
        </is>
      </c>
    </row>
    <row r="10">
      <c r="A10" s="22" t="inlineStr">
        <is>
          <t>VAR_AURORA_03</t>
        </is>
      </c>
      <c r="B10" s="22" t="inlineStr">
        <is>
          <t>Riva</t>
        </is>
      </c>
      <c r="C10" s="22" t="inlineStr">
        <is>
          <t>Dense Whiteout</t>
        </is>
      </c>
      <c r="D10" s="22" t="inlineStr">
        <is>
          <t>Opacity +1</t>
        </is>
      </c>
      <c r="E10" s="22" t="inlineStr">
        <is>
          <t>Durata -1</t>
        </is>
      </c>
      <c r="F10" s="22" t="inlineStr">
        <is>
          <t>None</t>
        </is>
      </c>
      <c r="G10" s="22" t="inlineStr">
        <is>
          <t>Vision</t>
        </is>
      </c>
    </row>
    <row r="11">
      <c r="A11" s="22" t="inlineStr">
        <is>
          <t>VAR_AURORA_04</t>
        </is>
      </c>
      <c r="B11" s="22" t="inlineStr">
        <is>
          <t>Riva</t>
        </is>
      </c>
      <c r="C11" s="22" t="inlineStr">
        <is>
          <t>Shatter Path</t>
        </is>
      </c>
      <c r="D11" s="22" t="inlineStr">
        <is>
          <t>Dash danneggia cover fragile</t>
        </is>
      </c>
      <c r="E11" s="22" t="inlineStr">
        <is>
          <t>Dash range -1</t>
        </is>
      </c>
      <c r="F11" s="22" t="inlineStr">
        <is>
          <t>None</t>
        </is>
      </c>
      <c r="G11" s="22" t="inlineStr">
        <is>
          <t>Map</t>
        </is>
      </c>
    </row>
    <row r="12">
      <c r="A12" s="22" t="inlineStr">
        <is>
          <t>VAR_MURDOCK_01</t>
        </is>
      </c>
      <c r="B12" s="22" t="inlineStr">
        <is>
          <t>Vektor</t>
        </is>
      </c>
      <c r="C12" s="22" t="inlineStr">
        <is>
          <t>Long Watch</t>
        </is>
      </c>
      <c r="D12" s="22" t="inlineStr">
        <is>
          <t>Overwatch range +2</t>
        </is>
      </c>
      <c r="E12" s="22" t="inlineStr">
        <is>
          <t>Finestra reaction -2 sec</t>
        </is>
      </c>
      <c r="F12" s="22" t="inlineStr">
        <is>
          <t>VAR_MURDOCK_02</t>
        </is>
      </c>
      <c r="G12" s="22" t="inlineStr">
        <is>
          <t>Marksman</t>
        </is>
      </c>
    </row>
    <row r="13">
      <c r="A13" s="22" t="inlineStr">
        <is>
          <t>VAR_MURDOCK_02</t>
        </is>
      </c>
      <c r="B13" s="22" t="inlineStr">
        <is>
          <t>Vektor</t>
        </is>
      </c>
      <c r="C13" s="22" t="inlineStr">
        <is>
          <t>Fast Track</t>
        </is>
      </c>
      <c r="D13" s="22" t="inlineStr">
        <is>
          <t>Mark Target immediato</t>
        </is>
      </c>
      <c r="E13" s="22" t="inlineStr">
        <is>
          <t>Tracking -1 turno</t>
        </is>
      </c>
      <c r="F13" s="22" t="inlineStr">
        <is>
          <t>VAR_MURDOCK_01</t>
        </is>
      </c>
      <c r="G13" s="22" t="inlineStr">
        <is>
          <t>Vision</t>
        </is>
      </c>
    </row>
    <row r="14">
      <c r="A14" s="22" t="inlineStr">
        <is>
          <t>VAR_MURDOCK_03</t>
        </is>
      </c>
      <c r="B14" s="22" t="inlineStr">
        <is>
          <t>Vektor</t>
        </is>
      </c>
      <c r="C14" s="22" t="inlineStr">
        <is>
          <t>Breach Rail</t>
        </is>
      </c>
      <c r="D14" s="22" t="inlineStr">
        <is>
          <t>Penetra high cover danneggiata</t>
        </is>
      </c>
      <c r="E14" s="22" t="inlineStr">
        <is>
          <t>Danno -25</t>
        </is>
      </c>
      <c r="F14" s="22" t="inlineStr">
        <is>
          <t>None</t>
        </is>
      </c>
      <c r="G14" s="22" t="inlineStr">
        <is>
          <t>Map</t>
        </is>
      </c>
    </row>
    <row r="15">
      <c r="A15" s="22" t="inlineStr">
        <is>
          <t>VAR_MURDOCK_04</t>
        </is>
      </c>
      <c r="B15" s="22" t="inlineStr">
        <is>
          <t>Vektor</t>
        </is>
      </c>
      <c r="C15" s="22" t="inlineStr">
        <is>
          <t>Safe Trigger</t>
        </is>
      </c>
      <c r="D15" s="22" t="inlineStr">
        <is>
          <t>Friendly fire warning diventa blocco</t>
        </is>
      </c>
      <c r="E15" s="22" t="inlineStr">
        <is>
          <t>Non può sparare in linee incerte</t>
        </is>
      </c>
      <c r="F15" s="22" t="inlineStr">
        <is>
          <t>None</t>
        </is>
      </c>
      <c r="G15" s="22" t="inlineStr">
        <is>
          <t>Safety</t>
        </is>
      </c>
    </row>
    <row r="16">
      <c r="A16" s="22" t="inlineStr">
        <is>
          <t>VAR_KWANG_01</t>
        </is>
      </c>
      <c r="B16" s="22" t="inlineStr">
        <is>
          <t>Flux</t>
        </is>
      </c>
      <c r="C16" s="22" t="inlineStr">
        <is>
          <t>Deep Conduction</t>
        </is>
      </c>
      <c r="D16" s="22" t="inlineStr">
        <is>
          <t>Catena acqua +1 bersaglio</t>
        </is>
      </c>
      <c r="E16" s="22" t="inlineStr">
        <is>
          <t>Danno primario -15</t>
        </is>
      </c>
      <c r="F16" s="22" t="inlineStr">
        <is>
          <t>VAR_KWANG_02</t>
        </is>
      </c>
      <c r="G16" s="22" t="inlineStr">
        <is>
          <t>Combo</t>
        </is>
      </c>
    </row>
    <row r="17">
      <c r="A17" s="22" t="inlineStr">
        <is>
          <t>VAR_KWANG_02</t>
        </is>
      </c>
      <c r="B17" s="22" t="inlineStr">
        <is>
          <t>Flux</t>
        </is>
      </c>
      <c r="C17" s="22" t="inlineStr">
        <is>
          <t>Duelist Circuit</t>
        </is>
      </c>
      <c r="D17" s="22" t="inlineStr">
        <is>
          <t>Storm Slash +20 vs singolo</t>
        </is>
      </c>
      <c r="E17" s="22" t="inlineStr">
        <is>
          <t>Nessuna catena</t>
        </is>
      </c>
      <c r="F17" s="22" t="inlineStr">
        <is>
          <t>VAR_KWANG_01</t>
        </is>
      </c>
      <c r="G17" s="22" t="inlineStr">
        <is>
          <t>Striker</t>
        </is>
      </c>
    </row>
    <row r="18">
      <c r="A18" s="22" t="inlineStr">
        <is>
          <t>VAR_KWANG_03</t>
        </is>
      </c>
      <c r="B18" s="22" t="inlineStr">
        <is>
          <t>Flux</t>
        </is>
      </c>
      <c r="C18" s="22" t="inlineStr">
        <is>
          <t>Grounded Anchor</t>
        </is>
      </c>
      <c r="D18" s="22" t="inlineStr">
        <is>
          <t>Sword Anchor crea cover 1</t>
        </is>
      </c>
      <c r="E18" s="22" t="inlineStr">
        <is>
          <t>Return range -1</t>
        </is>
      </c>
      <c r="F18" s="22" t="inlineStr">
        <is>
          <t>None</t>
        </is>
      </c>
      <c r="G18" s="22" t="inlineStr">
        <is>
          <t>Controller</t>
        </is>
      </c>
    </row>
    <row r="19">
      <c r="A19" s="22" t="inlineStr">
        <is>
          <t>VAR_KWANG_04</t>
        </is>
      </c>
      <c r="B19" s="22" t="inlineStr">
        <is>
          <t>Flux</t>
        </is>
      </c>
      <c r="C19" s="22" t="inlineStr">
        <is>
          <t>Static Veil</t>
        </is>
      </c>
      <c r="D19" s="22" t="inlineStr">
        <is>
          <t>Sensor resist +3</t>
        </is>
      </c>
      <c r="E19" s="22" t="inlineStr">
        <is>
          <t>Sight -1</t>
        </is>
      </c>
      <c r="F19" s="22" t="inlineStr">
        <is>
          <t>None</t>
        </is>
      </c>
      <c r="G19" s="22" t="inlineStr">
        <is>
          <t>Stealth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4" customWidth="1" style="58" min="1" max="1"/>
    <col width="20" customWidth="1" style="58" min="2" max="2"/>
    <col width="15" customWidth="1" style="58" min="3" max="3"/>
    <col width="15" customWidth="1" style="58" min="4" max="4"/>
    <col width="11" customWidth="1" style="58" min="5" max="5"/>
    <col width="16" customWidth="1" style="58" min="6" max="6"/>
    <col width="19" customWidth="1" style="58" min="7" max="7"/>
    <col width="48" customWidth="1" style="58" min="8" max="8"/>
    <col width="25" customWidth="1" style="58" min="9" max="9"/>
    <col width="18" customWidth="1" style="58" min="10" max="10"/>
    <col width="18" customWidth="1" style="58" min="11" max="11"/>
    <col width="18" customWidth="1" style="58" min="12" max="12"/>
    <col width="18" customWidth="1" style="58" min="13" max="13"/>
    <col width="18" customWidth="1" style="58" min="14" max="14"/>
  </cols>
  <sheetData>
    <row r="1" ht="30" customHeight="1" s="58">
      <c r="A1" s="9" t="inlineStr">
        <is>
          <t>Status effects — combattimento, terreno e percezione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34" customHeight="1" s="58">
      <c r="A3" s="14" t="inlineStr">
        <is>
          <t>Status_ID</t>
        </is>
      </c>
      <c r="B3" s="14" t="inlineStr">
        <is>
          <t>Nome</t>
        </is>
      </c>
      <c r="C3" s="14" t="inlineStr">
        <is>
          <t>Categoria</t>
        </is>
      </c>
      <c r="D3" s="14" t="inlineStr">
        <is>
          <t>Durata_Default</t>
        </is>
      </c>
      <c r="E3" s="14" t="inlineStr">
        <is>
          <t>Max_Stack</t>
        </is>
      </c>
      <c r="F3" s="14" t="inlineStr">
        <is>
          <t>Stack_Policy</t>
        </is>
      </c>
      <c r="G3" s="14" t="inlineStr">
        <is>
          <t>Counter</t>
        </is>
      </c>
      <c r="H3" s="14" t="inlineStr">
        <is>
          <t>Effetto</t>
        </is>
      </c>
      <c r="I3" s="14" t="inlineStr">
        <is>
          <t>Audience</t>
        </is>
      </c>
      <c r="J3" s="14" t="inlineStr">
        <is>
          <t>Sight_Mod</t>
        </is>
      </c>
      <c r="K3" s="14" t="inlineStr">
        <is>
          <t>Detection_Mod</t>
        </is>
      </c>
      <c r="L3" s="14" t="inlineStr">
        <is>
          <t>Identification_Mod</t>
        </is>
      </c>
      <c r="M3" s="14" t="inlineStr">
        <is>
          <t>Firma_Mod</t>
        </is>
      </c>
      <c r="N3" s="14" t="inlineStr">
        <is>
          <t>Scope_v0.1</t>
        </is>
      </c>
    </row>
    <row r="4">
      <c r="A4" s="22" t="inlineStr">
        <is>
          <t>STATUS_BURNING</t>
        </is>
      </c>
      <c r="B4" s="22" t="inlineStr">
        <is>
          <t>Burning</t>
        </is>
      </c>
      <c r="C4" s="22" t="inlineStr">
        <is>
          <t>Damage</t>
        </is>
      </c>
      <c r="D4" s="22" t="n">
        <v>2</v>
      </c>
      <c r="E4" s="22" t="n">
        <v>3</v>
      </c>
      <c r="F4" s="22" t="inlineStr">
        <is>
          <t>Refresh</t>
        </is>
      </c>
      <c r="G4" s="22" t="inlineStr">
        <is>
          <t>Water/Cold</t>
        </is>
      </c>
      <c r="H4" s="22" t="inlineStr">
        <is>
          <t>Danno fine micro-step; firma +3</t>
        </is>
      </c>
      <c r="I4" s="22" t="inlineStr">
        <is>
          <t>Public</t>
        </is>
      </c>
      <c r="J4" s="22" t="n">
        <v>0</v>
      </c>
      <c r="K4" s="22" t="n">
        <v>20</v>
      </c>
      <c r="L4" s="22" t="n">
        <v>15</v>
      </c>
      <c r="M4" s="22" t="n">
        <v>4</v>
      </c>
      <c r="N4" s="22" t="inlineStr">
        <is>
          <t>Slice</t>
        </is>
      </c>
    </row>
    <row r="5">
      <c r="A5" s="22" t="inlineStr">
        <is>
          <t>STATUS_WET</t>
        </is>
      </c>
      <c r="B5" s="22" t="inlineStr">
        <is>
          <t>Wet</t>
        </is>
      </c>
      <c r="C5" s="22" t="inlineStr">
        <is>
          <t>Surface</t>
        </is>
      </c>
      <c r="D5" s="22" t="n">
        <v>2</v>
      </c>
      <c r="E5" s="22" t="n">
        <v>1</v>
      </c>
      <c r="F5" s="22" t="inlineStr">
        <is>
          <t>Refresh</t>
        </is>
      </c>
      <c r="G5" s="22" t="inlineStr">
        <is>
          <t>Heat</t>
        </is>
      </c>
      <c r="H5" s="22" t="inlineStr">
        <is>
          <t>Electric damage +40%; rivela movimenti</t>
        </is>
      </c>
      <c r="I5" s="22" t="inlineStr">
        <is>
          <t>Public</t>
        </is>
      </c>
      <c r="J5" s="22" t="n">
        <v>0</v>
      </c>
      <c r="K5" s="22" t="n">
        <v>5</v>
      </c>
      <c r="L5" s="22" t="n">
        <v>0</v>
      </c>
      <c r="M5" s="22" t="n">
        <v>0</v>
      </c>
      <c r="N5" s="22" t="inlineStr">
        <is>
          <t>Slice</t>
        </is>
      </c>
    </row>
    <row r="6">
      <c r="A6" s="22" t="inlineStr">
        <is>
          <t>STATUS_SHOCKED</t>
        </is>
      </c>
      <c r="B6" s="22" t="inlineStr">
        <is>
          <t>Shocked</t>
        </is>
      </c>
      <c r="C6" s="22" t="inlineStr">
        <is>
          <t>Control</t>
        </is>
      </c>
      <c r="D6" s="22" t="n">
        <v>1</v>
      </c>
      <c r="E6" s="22" t="n">
        <v>2</v>
      </c>
      <c r="F6" s="22" t="inlineStr">
        <is>
          <t>Increase</t>
        </is>
      </c>
      <c r="G6" s="22" t="inlineStr">
        <is>
          <t>Grounding</t>
        </is>
      </c>
      <c r="H6" s="22" t="inlineStr">
        <is>
          <t>Reaction priority -20; può interrompere</t>
        </is>
      </c>
      <c r="I6" s="22" t="inlineStr">
        <is>
          <t>Public</t>
        </is>
      </c>
      <c r="J6" s="22" t="n">
        <v>0</v>
      </c>
      <c r="K6" s="22" t="n">
        <v>0</v>
      </c>
      <c r="L6" s="22" t="n">
        <v>0</v>
      </c>
      <c r="M6" s="22" t="n">
        <v>0</v>
      </c>
      <c r="N6" s="22" t="inlineStr">
        <is>
          <t>Espansione</t>
        </is>
      </c>
    </row>
    <row r="7">
      <c r="A7" s="22" t="inlineStr">
        <is>
          <t>STATUS_FROZEN</t>
        </is>
      </c>
      <c r="B7" s="22" t="inlineStr">
        <is>
          <t>Frozen</t>
        </is>
      </c>
      <c r="C7" s="22" t="inlineStr">
        <is>
          <t>Control</t>
        </is>
      </c>
      <c r="D7" s="22" t="n">
        <v>1</v>
      </c>
      <c r="E7" s="22" t="n">
        <v>1</v>
      </c>
      <c r="F7" s="22" t="inlineStr">
        <is>
          <t>None</t>
        </is>
      </c>
      <c r="G7" s="22" t="inlineStr">
        <is>
          <t>Fire/Break</t>
        </is>
      </c>
      <c r="H7" s="22" t="inlineStr">
        <is>
          <t>Blocca movimento; armor fragile</t>
        </is>
      </c>
      <c r="I7" s="22" t="inlineStr">
        <is>
          <t>Public</t>
        </is>
      </c>
      <c r="J7" s="22" t="n">
        <v>0</v>
      </c>
      <c r="K7" s="22" t="n">
        <v>0</v>
      </c>
      <c r="L7" s="22" t="n">
        <v>0</v>
      </c>
      <c r="M7" s="22" t="n">
        <v>-1</v>
      </c>
      <c r="N7" s="22" t="inlineStr">
        <is>
          <t>Espansione</t>
        </is>
      </c>
    </row>
    <row r="8">
      <c r="A8" s="22" t="inlineStr">
        <is>
          <t>STATUS_CHILLED</t>
        </is>
      </c>
      <c r="B8" s="22" t="inlineStr">
        <is>
          <t>Chilled</t>
        </is>
      </c>
      <c r="C8" s="22" t="inlineStr">
        <is>
          <t>Control</t>
        </is>
      </c>
      <c r="D8" s="22" t="n">
        <v>2</v>
      </c>
      <c r="E8" s="22" t="n">
        <v>3</v>
      </c>
      <c r="F8" s="22" t="inlineStr">
        <is>
          <t>Increase</t>
        </is>
      </c>
      <c r="G8" s="22" t="inlineStr">
        <is>
          <t>Heat</t>
        </is>
      </c>
      <c r="H8" s="22" t="inlineStr">
        <is>
          <t>Move -1; dash cost +1</t>
        </is>
      </c>
      <c r="I8" s="22" t="inlineStr">
        <is>
          <t>Public</t>
        </is>
      </c>
      <c r="J8" s="22" t="n">
        <v>0</v>
      </c>
      <c r="K8" s="22" t="n">
        <v>0</v>
      </c>
      <c r="L8" s="22" t="n">
        <v>0</v>
      </c>
      <c r="M8" s="22" t="n">
        <v>0</v>
      </c>
      <c r="N8" s="22" t="inlineStr">
        <is>
          <t>Espansione</t>
        </is>
      </c>
    </row>
    <row r="9">
      <c r="A9" s="22" t="inlineStr">
        <is>
          <t>STATUS_SMOKED</t>
        </is>
      </c>
      <c r="B9" s="22" t="inlineStr">
        <is>
          <t>Obscured</t>
        </is>
      </c>
      <c r="C9" s="22" t="inlineStr">
        <is>
          <t>Vision</t>
        </is>
      </c>
      <c r="D9" s="22" t="n">
        <v>1</v>
      </c>
      <c r="E9" s="22" t="n">
        <v>3</v>
      </c>
      <c r="F9" s="22" t="inlineStr">
        <is>
          <t>Refresh</t>
        </is>
      </c>
      <c r="G9" s="22" t="inlineStr">
        <is>
          <t>Sensor</t>
        </is>
      </c>
      <c r="H9" s="22" t="inlineStr">
        <is>
          <t>Identification -30</t>
        </is>
      </c>
      <c r="I9" s="22" t="inlineStr">
        <is>
          <t>Team-filtered</t>
        </is>
      </c>
      <c r="J9" s="22" t="n">
        <v>-1</v>
      </c>
      <c r="K9" s="22" t="n">
        <v>-10</v>
      </c>
      <c r="L9" s="22" t="n">
        <v>-30</v>
      </c>
      <c r="M9" s="22" t="n">
        <v>-2</v>
      </c>
      <c r="N9" s="22" t="inlineStr">
        <is>
          <t>Slice</t>
        </is>
      </c>
    </row>
    <row r="10">
      <c r="A10" s="22" t="inlineStr">
        <is>
          <t>STATUS_REVEALED</t>
        </is>
      </c>
      <c r="B10" s="22" t="inlineStr">
        <is>
          <t>Revealed</t>
        </is>
      </c>
      <c r="C10" s="22" t="inlineStr">
        <is>
          <t>Vision</t>
        </is>
      </c>
      <c r="D10" s="22" t="n">
        <v>1</v>
      </c>
      <c r="E10" s="22" t="n">
        <v>1</v>
      </c>
      <c r="F10" s="22" t="inlineStr">
        <is>
          <t>Refresh</t>
        </is>
      </c>
      <c r="G10" s="22" t="inlineStr">
        <is>
          <t>Break LOS</t>
        </is>
      </c>
      <c r="H10" s="22" t="inlineStr">
        <is>
          <t>Stealth massimo 2</t>
        </is>
      </c>
      <c r="I10" s="22" t="inlineStr">
        <is>
          <t>Team-filtered</t>
        </is>
      </c>
      <c r="J10" s="22" t="n">
        <v>0</v>
      </c>
      <c r="K10" s="22" t="n">
        <v>30</v>
      </c>
      <c r="L10" s="22" t="n">
        <v>30</v>
      </c>
      <c r="M10" s="22" t="n">
        <v>5</v>
      </c>
      <c r="N10" s="22" t="inlineStr">
        <is>
          <t>Slice</t>
        </is>
      </c>
    </row>
    <row r="11">
      <c r="A11" s="22" t="inlineStr">
        <is>
          <t>STATUS_TRACKED</t>
        </is>
      </c>
      <c r="B11" s="22" t="inlineStr">
        <is>
          <t>Tracked</t>
        </is>
      </c>
      <c r="C11" s="22" t="inlineStr">
        <is>
          <t>Vision</t>
        </is>
      </c>
      <c r="D11" s="22" t="n">
        <v>2</v>
      </c>
      <c r="E11" s="22" t="n">
        <v>1</v>
      </c>
      <c r="F11" s="22" t="inlineStr">
        <is>
          <t>Refresh</t>
        </is>
      </c>
      <c r="G11" s="22" t="inlineStr">
        <is>
          <t>Cleanse</t>
        </is>
      </c>
      <c r="H11" s="22" t="inlineStr">
        <is>
          <t>Ultimo contatto preciso +1 turno</t>
        </is>
      </c>
      <c r="I11" s="22" t="inlineStr">
        <is>
          <t>Team-filtered</t>
        </is>
      </c>
      <c r="J11" s="22" t="n">
        <v>0</v>
      </c>
      <c r="K11" s="22" t="n">
        <v>20</v>
      </c>
      <c r="L11" s="22" t="n">
        <v>25</v>
      </c>
      <c r="M11" s="22" t="n">
        <v>0</v>
      </c>
      <c r="N11" s="22" t="inlineStr">
        <is>
          <t>Slice</t>
        </is>
      </c>
    </row>
    <row r="12">
      <c r="A12" s="22" t="inlineStr">
        <is>
          <t>STATUS_SUPPRESSED</t>
        </is>
      </c>
      <c r="B12" s="22" t="inlineStr">
        <is>
          <t>Suppressed</t>
        </is>
      </c>
      <c r="C12" s="22" t="inlineStr">
        <is>
          <t>Control</t>
        </is>
      </c>
      <c r="D12" s="22" t="n">
        <v>1</v>
      </c>
      <c r="E12" s="22" t="n">
        <v>2</v>
      </c>
      <c r="F12" s="22" t="inlineStr">
        <is>
          <t>Increase</t>
        </is>
      </c>
      <c r="G12" s="22" t="inlineStr">
        <is>
          <t>Cover</t>
        </is>
      </c>
      <c r="H12" s="22" t="inlineStr">
        <is>
          <t>Sprint disabilitato; accuracy -1</t>
        </is>
      </c>
      <c r="I12" s="22" t="inlineStr">
        <is>
          <t>Public</t>
        </is>
      </c>
      <c r="J12" s="22" t="n">
        <v>0</v>
      </c>
      <c r="K12" s="22" t="n">
        <v>10</v>
      </c>
      <c r="L12" s="22" t="n">
        <v>0</v>
      </c>
      <c r="M12" s="22" t="n">
        <v>0</v>
      </c>
      <c r="N12" s="22" t="inlineStr">
        <is>
          <t>Espansione</t>
        </is>
      </c>
    </row>
    <row r="13">
      <c r="A13" s="22" t="inlineStr">
        <is>
          <t>STATUS_GUARDED</t>
        </is>
      </c>
      <c r="B13" s="22" t="inlineStr">
        <is>
          <t>Guarded</t>
        </is>
      </c>
      <c r="C13" s="22" t="inlineStr">
        <is>
          <t>Defense</t>
        </is>
      </c>
      <c r="D13" s="22" t="n">
        <v>1</v>
      </c>
      <c r="E13" s="22" t="n">
        <v>1</v>
      </c>
      <c r="F13" s="22" t="inlineStr">
        <is>
          <t>Refresh</t>
        </is>
      </c>
      <c r="G13" s="22" t="inlineStr">
        <is>
          <t>Dispel</t>
        </is>
      </c>
      <c r="H13" s="22" t="inlineStr">
        <is>
          <t>Danno trasferito/mitigato</t>
        </is>
      </c>
      <c r="I13" s="22" t="inlineStr">
        <is>
          <t>Team-only</t>
        </is>
      </c>
      <c r="J13" s="22" t="n">
        <v>0</v>
      </c>
      <c r="K13" s="22" t="n">
        <v>0</v>
      </c>
      <c r="L13" s="22" t="n">
        <v>0</v>
      </c>
      <c r="M13" s="22" t="n">
        <v>0</v>
      </c>
      <c r="N13" s="22" t="inlineStr">
        <is>
          <t>Espansione</t>
        </is>
      </c>
    </row>
    <row r="14">
      <c r="A14" s="22" t="inlineStr">
        <is>
          <t>STATUS_COUNTER_READY</t>
        </is>
      </c>
      <c r="B14" s="22" t="inlineStr">
        <is>
          <t>Counter Ready</t>
        </is>
      </c>
      <c r="C14" s="22" t="inlineStr">
        <is>
          <t>Reaction</t>
        </is>
      </c>
      <c r="D14" s="22" t="n">
        <v>1</v>
      </c>
      <c r="E14" s="22" t="n">
        <v>1</v>
      </c>
      <c r="F14" s="22" t="inlineStr">
        <is>
          <t>None</t>
        </is>
      </c>
      <c r="G14" s="22" t="inlineStr">
        <is>
          <t>Trigger</t>
        </is>
      </c>
      <c r="H14" s="22" t="inlineStr">
        <is>
          <t>Abilita Fast Reaction</t>
        </is>
      </c>
      <c r="I14" s="22" t="inlineStr">
        <is>
          <t>Team-only</t>
        </is>
      </c>
      <c r="J14" s="22" t="n">
        <v>0</v>
      </c>
      <c r="K14" s="22" t="n">
        <v>0</v>
      </c>
      <c r="L14" s="22" t="n">
        <v>0</v>
      </c>
      <c r="M14" s="22" t="n">
        <v>0</v>
      </c>
      <c r="N14" s="22" t="inlineStr">
        <is>
          <t>Espansione</t>
        </is>
      </c>
    </row>
    <row r="15">
      <c r="A15" s="22" t="inlineStr">
        <is>
          <t>STATUS_ROOTED</t>
        </is>
      </c>
      <c r="B15" s="22" t="inlineStr">
        <is>
          <t>Rooted</t>
        </is>
      </c>
      <c r="C15" s="22" t="inlineStr">
        <is>
          <t>Control</t>
        </is>
      </c>
      <c r="D15" s="22" t="n">
        <v>1</v>
      </c>
      <c r="E15" s="22" t="n">
        <v>1</v>
      </c>
      <c r="F15" s="22" t="inlineStr">
        <is>
          <t>Refresh</t>
        </is>
      </c>
      <c r="G15" s="22" t="inlineStr">
        <is>
          <t>Cleanse</t>
        </is>
      </c>
      <c r="H15" s="22" t="inlineStr">
        <is>
          <t>No movement; può attaccare</t>
        </is>
      </c>
      <c r="I15" s="22" t="inlineStr">
        <is>
          <t>Public</t>
        </is>
      </c>
      <c r="J15" s="22" t="n">
        <v>0</v>
      </c>
      <c r="K15" s="22" t="n">
        <v>0</v>
      </c>
      <c r="L15" s="22" t="n">
        <v>0</v>
      </c>
      <c r="M15" s="22" t="n">
        <v>-1</v>
      </c>
      <c r="N15" s="22" t="inlineStr">
        <is>
          <t>Slice</t>
        </is>
      </c>
    </row>
    <row r="16">
      <c r="A16" s="22" t="inlineStr">
        <is>
          <t>STATUS_STUNNED</t>
        </is>
      </c>
      <c r="B16" s="22" t="inlineStr">
        <is>
          <t>Stunned</t>
        </is>
      </c>
      <c r="C16" s="22" t="inlineStr">
        <is>
          <t>Control</t>
        </is>
      </c>
      <c r="D16" s="22" t="n">
        <v>1</v>
      </c>
      <c r="E16" s="22" t="n">
        <v>1</v>
      </c>
      <c r="F16" s="22" t="inlineStr">
        <is>
          <t>None</t>
        </is>
      </c>
      <c r="G16" s="22" t="inlineStr">
        <is>
          <t>Cleanse</t>
        </is>
      </c>
      <c r="H16" s="22" t="inlineStr">
        <is>
          <t>Salta azione; costoso e raro</t>
        </is>
      </c>
      <c r="I16" s="22" t="inlineStr">
        <is>
          <t>Public</t>
        </is>
      </c>
      <c r="J16" s="22" t="n">
        <v>-2</v>
      </c>
      <c r="K16" s="22" t="n">
        <v>0</v>
      </c>
      <c r="L16" s="22" t="n">
        <v>0</v>
      </c>
      <c r="M16" s="22" t="n">
        <v>0</v>
      </c>
      <c r="N16" s="22" t="inlineStr">
        <is>
          <t>Espansione</t>
        </is>
      </c>
    </row>
    <row r="17">
      <c r="A17" s="22" t="inlineStr">
        <is>
          <t>STATUS_POISONED</t>
        </is>
      </c>
      <c r="B17" s="22" t="inlineStr">
        <is>
          <t>Poisoned</t>
        </is>
      </c>
      <c r="C17" s="22" t="inlineStr">
        <is>
          <t>Damage</t>
        </is>
      </c>
      <c r="D17" s="22" t="n">
        <v>3</v>
      </c>
      <c r="E17" s="22" t="n">
        <v>3</v>
      </c>
      <c r="F17" s="22" t="inlineStr">
        <is>
          <t>Increase</t>
        </is>
      </c>
      <c r="G17" s="22" t="inlineStr">
        <is>
          <t>Cleanse</t>
        </is>
      </c>
      <c r="H17" s="22" t="inlineStr">
        <is>
          <t>Danno progressivo; healing -20%</t>
        </is>
      </c>
      <c r="I17" s="22" t="inlineStr">
        <is>
          <t>Public</t>
        </is>
      </c>
      <c r="J17" s="22" t="n">
        <v>0</v>
      </c>
      <c r="K17" s="22" t="n">
        <v>0</v>
      </c>
      <c r="L17" s="22" t="n">
        <v>0</v>
      </c>
      <c r="M17" s="22" t="n">
        <v>0</v>
      </c>
      <c r="N17" s="22" t="inlineStr">
        <is>
          <t>Espansione</t>
        </is>
      </c>
    </row>
    <row r="18">
      <c r="A18" s="22" t="inlineStr">
        <is>
          <t>STATUS_STEALTH</t>
        </is>
      </c>
      <c r="B18" s="22" t="inlineStr">
        <is>
          <t>Stealthed</t>
        </is>
      </c>
      <c r="C18" s="22" t="inlineStr">
        <is>
          <t>Vision</t>
        </is>
      </c>
      <c r="D18" s="22" t="n">
        <v>2</v>
      </c>
      <c r="E18" s="22" t="n">
        <v>1</v>
      </c>
      <c r="F18" s="22" t="inlineStr">
        <is>
          <t>Refresh</t>
        </is>
      </c>
      <c r="G18" s="22" t="inlineStr">
        <is>
          <t>Attack/Reveal</t>
        </is>
      </c>
      <c r="H18" s="22" t="inlineStr">
        <is>
          <t>Stealth +4; si rompe attaccando</t>
        </is>
      </c>
      <c r="I18" s="22" t="inlineStr">
        <is>
          <t>Team-only</t>
        </is>
      </c>
      <c r="J18" s="22" t="n">
        <v>0</v>
      </c>
      <c r="K18" s="22" t="n">
        <v>-20</v>
      </c>
      <c r="L18" s="22" t="n">
        <v>-25</v>
      </c>
      <c r="M18" s="22" t="n">
        <v>-4</v>
      </c>
      <c r="N18" s="22" t="inlineStr">
        <is>
          <t>Espansione</t>
        </is>
      </c>
    </row>
    <row r="19">
      <c r="A19" s="22" t="inlineStr">
        <is>
          <t>STATUS_MARKED</t>
        </is>
      </c>
      <c r="B19" s="22" t="inlineStr">
        <is>
          <t>Marked</t>
        </is>
      </c>
      <c r="C19" s="22" t="inlineStr">
        <is>
          <t>Targeting</t>
        </is>
      </c>
      <c r="D19" s="22" t="n">
        <v>2</v>
      </c>
      <c r="E19" s="22" t="n">
        <v>1</v>
      </c>
      <c r="F19" s="22" t="inlineStr">
        <is>
          <t>Refresh</t>
        </is>
      </c>
      <c r="G19" s="22" t="inlineStr">
        <is>
          <t>Cleanse</t>
        </is>
      </c>
      <c r="H19" s="22" t="inlineStr">
        <is>
          <t>Bonus accuracy e follow tracking</t>
        </is>
      </c>
      <c r="I19" s="22" t="inlineStr">
        <is>
          <t>Team-filtered</t>
        </is>
      </c>
      <c r="J19" s="22" t="n">
        <v>0</v>
      </c>
      <c r="K19" s="22" t="n">
        <v>15</v>
      </c>
      <c r="L19" s="22" t="n">
        <v>20</v>
      </c>
      <c r="M19" s="22" t="n">
        <v>0</v>
      </c>
      <c r="N19" s="22" t="inlineStr">
        <is>
          <t>Slice</t>
        </is>
      </c>
    </row>
    <row r="20">
      <c r="A20" s="22" t="inlineStr">
        <is>
          <t>STATUS_DISPLACED</t>
        </is>
      </c>
      <c r="B20" s="22" t="inlineStr">
        <is>
          <t>Displaced</t>
        </is>
      </c>
      <c r="C20" s="22" t="inlineStr">
        <is>
          <t>Movement</t>
        </is>
      </c>
      <c r="D20" s="22" t="n">
        <v>0</v>
      </c>
      <c r="E20" s="22" t="n">
        <v>1</v>
      </c>
      <c r="F20" s="22" t="inlineStr">
        <is>
          <t>None</t>
        </is>
      </c>
      <c r="G20" s="22" t="inlineStr">
        <is>
          <t>Immunity</t>
        </is>
      </c>
      <c r="H20" s="22" t="inlineStr">
        <is>
          <t>Movimento forzato loggato</t>
        </is>
      </c>
      <c r="I20" s="22" t="inlineStr">
        <is>
          <t>Public</t>
        </is>
      </c>
      <c r="J20" s="22" t="n">
        <v>0</v>
      </c>
      <c r="K20" s="22" t="n">
        <v>0</v>
      </c>
      <c r="L20" s="22" t="n">
        <v>0</v>
      </c>
      <c r="M20" s="22" t="n">
        <v>0</v>
      </c>
      <c r="N20" s="22" t="inlineStr">
        <is>
          <t>Espansione</t>
        </is>
      </c>
    </row>
    <row r="21">
      <c r="A21" s="22" t="inlineStr">
        <is>
          <t>STATUS_OVERWATCH</t>
        </is>
      </c>
      <c r="B21" s="22" t="inlineStr">
        <is>
          <t>Overwatch</t>
        </is>
      </c>
      <c r="C21" s="22" t="inlineStr">
        <is>
          <t>Reaction</t>
        </is>
      </c>
      <c r="D21" s="22" t="n">
        <v>1</v>
      </c>
      <c r="E21" s="22" t="n">
        <v>1</v>
      </c>
      <c r="F21" s="22" t="inlineStr">
        <is>
          <t>None</t>
        </is>
      </c>
      <c r="G21" s="22" t="inlineStr">
        <is>
          <t>Move/Cancel</t>
        </is>
      </c>
      <c r="H21" s="22" t="inlineStr">
        <is>
          <t>Arco direzionale attivo</t>
        </is>
      </c>
      <c r="I21" s="22" t="inlineStr">
        <is>
          <t>Public cue / Team details</t>
        </is>
      </c>
      <c r="J21" s="22" t="n">
        <v>0</v>
      </c>
      <c r="K21" s="22" t="n">
        <v>0</v>
      </c>
      <c r="L21" s="22" t="n">
        <v>0</v>
      </c>
      <c r="M21" s="22" t="n">
        <v>2</v>
      </c>
      <c r="N21" s="22" t="inlineStr">
        <is>
          <t>Espansione</t>
        </is>
      </c>
    </row>
  </sheetData>
  <mergeCells count="1">
    <mergeCell ref="A1:I1"/>
  </mergeCells>
  <conditionalFormatting sqref="D4:D2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2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0" customWidth="1" style="58" min="2" max="2"/>
    <col width="18" customWidth="1" style="58" min="3" max="3"/>
    <col width="14" customWidth="1" style="58" min="4" max="4"/>
    <col width="10" customWidth="1" style="58" min="5" max="5"/>
    <col width="31" customWidth="1" style="58" min="6" max="6"/>
    <col width="23" customWidth="1" style="58" min="7" max="7"/>
    <col width="24" customWidth="1" style="58" min="8" max="8"/>
    <col width="29" customWidth="1" style="58" min="9" max="9"/>
    <col width="18" customWidth="1" style="58" min="10" max="10"/>
    <col width="18" customWidth="1" style="58" min="11" max="11"/>
    <col width="18" customWidth="1" style="58" min="12" max="12"/>
    <col width="18" customWidth="1" style="58" min="13" max="13"/>
  </cols>
  <sheetData>
    <row r="1" ht="30" customHeight="1" s="58">
      <c r="A1" s="9" t="inlineStr">
        <is>
          <t>Azioni selezionabili e fasi del turno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4" customHeight="1" s="58">
      <c r="A3" s="14" t="inlineStr">
        <is>
          <t>Action_ID</t>
        </is>
      </c>
      <c r="B3" s="14" t="inlineStr">
        <is>
          <t>Nome</t>
        </is>
      </c>
      <c r="C3" s="14" t="inlineStr">
        <is>
          <t>Fase</t>
        </is>
      </c>
      <c r="D3" s="14" t="inlineStr">
        <is>
          <t>Priorità_Base</t>
        </is>
      </c>
      <c r="E3" s="14" t="inlineStr">
        <is>
          <t>AP_Cost</t>
        </is>
      </c>
      <c r="F3" s="14" t="inlineStr">
        <is>
          <t>Network</t>
        </is>
      </c>
      <c r="G3" s="14" t="inlineStr">
        <is>
          <t>Targeting</t>
        </is>
      </c>
      <c r="H3" s="14" t="inlineStr">
        <is>
          <t>Fallback</t>
        </is>
      </c>
      <c r="I3" s="14" t="inlineStr">
        <is>
          <t>Invalidation</t>
        </is>
      </c>
      <c r="J3" s="14" t="inlineStr">
        <is>
          <t>Resolver_Stage</t>
        </is>
      </c>
      <c r="K3" s="14" t="inlineStr">
        <is>
          <t>Requires_Contact</t>
        </is>
      </c>
      <c r="L3" s="14" t="inlineStr">
        <is>
          <t>Firma_Mod</t>
        </is>
      </c>
      <c r="M3" s="14" t="inlineStr">
        <is>
          <t>Scope_v0.1</t>
        </is>
      </c>
    </row>
    <row r="4">
      <c r="A4" s="22" t="inlineStr">
        <is>
          <t>ACT_MOVE</t>
        </is>
      </c>
      <c r="B4" s="22" t="inlineStr">
        <is>
          <t>Move</t>
        </is>
      </c>
      <c r="C4" s="22" t="inlineStr">
        <is>
          <t>Planning</t>
        </is>
      </c>
      <c r="D4" s="22" t="n">
        <v>20</v>
      </c>
      <c r="E4" s="22" t="n">
        <v>1</v>
      </c>
      <c r="F4" s="22" t="inlineStr">
        <is>
          <t>Unreliable preview / reliable commit</t>
        </is>
      </c>
      <c r="G4" s="22" t="inlineStr">
        <is>
          <t>Path</t>
        </is>
      </c>
      <c r="H4" s="22" t="inlineStr">
        <is>
          <t>Cancel</t>
        </is>
      </c>
      <c r="I4" s="22" t="inlineStr">
        <is>
          <t>Collision, arco invalido</t>
        </is>
      </c>
      <c r="J4" s="22" t="inlineStr">
        <is>
          <t>Micro-step</t>
        </is>
      </c>
      <c r="K4" s="22" t="inlineStr">
        <is>
          <t>Nessuno</t>
        </is>
      </c>
      <c r="L4" s="22" t="n">
        <v>5</v>
      </c>
      <c r="M4" s="22" t="inlineStr">
        <is>
          <t>Slice</t>
        </is>
      </c>
    </row>
    <row r="5">
      <c r="A5" s="22" t="inlineStr">
        <is>
          <t>ACT_SPRINT</t>
        </is>
      </c>
      <c r="B5" s="22" t="inlineStr">
        <is>
          <t>Sprint</t>
        </is>
      </c>
      <c r="C5" s="22" t="inlineStr">
        <is>
          <t>Planning</t>
        </is>
      </c>
      <c r="D5" s="22" t="n">
        <v>22</v>
      </c>
      <c r="E5" s="22" t="n">
        <v>2</v>
      </c>
      <c r="F5" s="22" t="inlineStr">
        <is>
          <t>Reliable commit</t>
        </is>
      </c>
      <c r="G5" s="22" t="inlineStr">
        <is>
          <t>Path</t>
        </is>
      </c>
      <c r="H5" s="22" t="inlineStr">
        <is>
          <t>Degrade to Move</t>
        </is>
      </c>
      <c r="I5" s="22" t="inlineStr">
        <is>
          <t>Suppression, fango</t>
        </is>
      </c>
      <c r="J5" s="22" t="inlineStr">
        <is>
          <t>Micro-step</t>
        </is>
      </c>
      <c r="K5" s="22" t="inlineStr">
        <is>
          <t>Nessuno</t>
        </is>
      </c>
      <c r="L5" s="22" t="n">
        <v>12</v>
      </c>
      <c r="M5" s="22" t="inlineStr">
        <is>
          <t>Slice</t>
        </is>
      </c>
    </row>
    <row r="6">
      <c r="A6" s="22" t="inlineStr">
        <is>
          <t>ACT_DASH</t>
        </is>
      </c>
      <c r="B6" s="22" t="inlineStr">
        <is>
          <t>Dash</t>
        </is>
      </c>
      <c r="C6" s="22" t="inlineStr">
        <is>
          <t>Planning/Reaction</t>
        </is>
      </c>
      <c r="D6" s="22" t="n">
        <v>25</v>
      </c>
      <c r="E6" s="22" t="n">
        <v>2</v>
      </c>
      <c r="F6" s="22" t="inlineStr">
        <is>
          <t>Reliable</t>
        </is>
      </c>
      <c r="G6" s="22" t="inlineStr">
        <is>
          <t>Line/Path</t>
        </is>
      </c>
      <c r="H6" s="22" t="inlineStr">
        <is>
          <t>Stop at last valid</t>
        </is>
      </c>
      <c r="I6" s="22" t="inlineStr">
        <is>
          <t>Root, block edge</t>
        </is>
      </c>
      <c r="J6" s="22" t="inlineStr">
        <is>
          <t>Movement</t>
        </is>
      </c>
      <c r="K6" s="22" t="inlineStr">
        <is>
          <t>Nessuno</t>
        </is>
      </c>
      <c r="L6" s="22" t="n">
        <v>8</v>
      </c>
      <c r="M6" s="22" t="inlineStr">
        <is>
          <t>Slice</t>
        </is>
      </c>
    </row>
    <row r="7">
      <c r="A7" s="22" t="inlineStr">
        <is>
          <t>ACT_ATTACK</t>
        </is>
      </c>
      <c r="B7" s="22" t="inlineStr">
        <is>
          <t>Attack</t>
        </is>
      </c>
      <c r="C7" s="22" t="inlineStr">
        <is>
          <t>Planning</t>
        </is>
      </c>
      <c r="D7" s="22" t="n">
        <v>60</v>
      </c>
      <c r="E7" s="22" t="n">
        <v>1</v>
      </c>
      <c r="F7" s="22" t="inlineStr">
        <is>
          <t>Reliable</t>
        </is>
      </c>
      <c r="G7" s="22" t="inlineStr">
        <is>
          <t>Unit/Cell/Line</t>
        </is>
      </c>
      <c r="H7" s="22" t="inlineStr">
        <is>
          <t>Policy per ability</t>
        </is>
      </c>
      <c r="I7" s="22" t="inlineStr">
        <is>
          <t>Lost contact, cover</t>
        </is>
      </c>
      <c r="J7" s="22" t="inlineStr">
        <is>
          <t>Attack</t>
        </is>
      </c>
      <c r="K7" s="22" t="inlineStr">
        <is>
          <t>Rilevato</t>
        </is>
      </c>
      <c r="L7" s="22" t="n">
        <v>10</v>
      </c>
      <c r="M7" s="22" t="inlineStr">
        <is>
          <t>Slice</t>
        </is>
      </c>
    </row>
    <row r="8">
      <c r="A8" s="22" t="inlineStr">
        <is>
          <t>ACT_ABILITY</t>
        </is>
      </c>
      <c r="B8" s="22" t="inlineStr">
        <is>
          <t>Ability</t>
        </is>
      </c>
      <c r="C8" s="22" t="inlineStr">
        <is>
          <t>Planning</t>
        </is>
      </c>
      <c r="D8" s="22" t="n">
        <v>50</v>
      </c>
      <c r="E8" s="22" t="n">
        <v>1</v>
      </c>
      <c r="F8" s="22" t="inlineStr">
        <is>
          <t>Reliable</t>
        </is>
      </c>
      <c r="G8" s="22" t="inlineStr">
        <is>
          <t>Data-driven</t>
        </is>
      </c>
      <c r="H8" s="22" t="inlineStr">
        <is>
          <t>Policy per ability</t>
        </is>
      </c>
      <c r="I8" s="22" t="inlineStr">
        <is>
          <t>Cost/cooldown invalid</t>
        </is>
      </c>
      <c r="J8" s="22" t="inlineStr">
        <is>
          <t>Ability</t>
        </is>
      </c>
      <c r="K8" s="22" t="inlineStr">
        <is>
          <t>Per abilità</t>
        </is>
      </c>
      <c r="L8" s="22" t="n">
        <v>8</v>
      </c>
      <c r="M8" s="22" t="inlineStr">
        <is>
          <t>Slice</t>
        </is>
      </c>
    </row>
    <row r="9">
      <c r="A9" s="22" t="inlineStr">
        <is>
          <t>ACT_ACTIVATE</t>
        </is>
      </c>
      <c r="B9" s="22" t="inlineStr">
        <is>
          <t>Activate</t>
        </is>
      </c>
      <c r="C9" s="22" t="inlineStr">
        <is>
          <t>Planning</t>
        </is>
      </c>
      <c r="D9" s="22" t="n">
        <v>40</v>
      </c>
      <c r="E9" s="22" t="n">
        <v>1</v>
      </c>
      <c r="F9" s="22" t="inlineStr">
        <is>
          <t>Reliable</t>
        </is>
      </c>
      <c r="G9" s="22" t="inlineStr">
        <is>
          <t>Object/Cell</t>
        </is>
      </c>
      <c r="H9" s="22" t="inlineStr">
        <is>
          <t>Cancel</t>
        </is>
      </c>
      <c r="I9" s="22" t="inlineStr">
        <is>
          <t>Object changed</t>
        </is>
      </c>
      <c r="J9" s="22" t="inlineStr">
        <is>
          <t>Interaction</t>
        </is>
      </c>
      <c r="K9" s="22" t="inlineStr">
        <is>
          <t>Nessuno</t>
        </is>
      </c>
      <c r="L9" s="22" t="n">
        <v>4</v>
      </c>
      <c r="M9" s="22" t="inlineStr">
        <is>
          <t>Slice</t>
        </is>
      </c>
    </row>
    <row r="10">
      <c r="A10" s="22" t="inlineStr">
        <is>
          <t>ACT_READY</t>
        </is>
      </c>
      <c r="B10" s="22" t="inlineStr">
        <is>
          <t>Ready</t>
        </is>
      </c>
      <c r="C10" s="22" t="inlineStr">
        <is>
          <t>Planning</t>
        </is>
      </c>
      <c r="D10" s="22" t="n">
        <v>5</v>
      </c>
      <c r="E10" s="22" t="n">
        <v>0</v>
      </c>
      <c r="F10" s="22" t="inlineStr">
        <is>
          <t>Reliable</t>
        </is>
      </c>
      <c r="G10" s="22" t="inlineStr">
        <is>
          <t>Self</t>
        </is>
      </c>
      <c r="H10" s="22" t="inlineStr">
        <is>
          <t>Unready allowed</t>
        </is>
      </c>
      <c r="I10" s="22" t="inlineStr">
        <is>
          <t>Countdown reset</t>
        </is>
      </c>
      <c r="J10" s="22" t="inlineStr">
        <is>
          <t>Planning</t>
        </is>
      </c>
      <c r="K10" s="22" t="inlineStr">
        <is>
          <t>Nessuno</t>
        </is>
      </c>
      <c r="L10" s="22" t="n">
        <v>0</v>
      </c>
      <c r="M10" s="22" t="inlineStr">
        <is>
          <t>Slice</t>
        </is>
      </c>
    </row>
    <row r="11">
      <c r="A11" s="22" t="inlineStr">
        <is>
          <t>ACT_UNREADY</t>
        </is>
      </c>
      <c r="B11" s="22" t="inlineStr">
        <is>
          <t>Unready</t>
        </is>
      </c>
      <c r="C11" s="22" t="inlineStr">
        <is>
          <t>Planning</t>
        </is>
      </c>
      <c r="D11" s="22" t="n">
        <v>5</v>
      </c>
      <c r="E11" s="22" t="n">
        <v>0</v>
      </c>
      <c r="F11" s="22" t="inlineStr">
        <is>
          <t>Reliable</t>
        </is>
      </c>
      <c r="G11" s="22" t="inlineStr">
        <is>
          <t>Self</t>
        </is>
      </c>
      <c r="H11" s="22" t="inlineStr">
        <is>
          <t>N/A</t>
        </is>
      </c>
      <c r="I11" s="22" t="inlineStr">
        <is>
          <t>Commit started</t>
        </is>
      </c>
      <c r="J11" s="22" t="inlineStr">
        <is>
          <t>Planning</t>
        </is>
      </c>
      <c r="K11" s="22" t="inlineStr">
        <is>
          <t>Nessuno</t>
        </is>
      </c>
      <c r="L11" s="22" t="n">
        <v>0</v>
      </c>
      <c r="M11" s="22" t="inlineStr">
        <is>
          <t>Slice</t>
        </is>
      </c>
    </row>
    <row r="12">
      <c r="A12" s="22" t="inlineStr">
        <is>
          <t>ACT_PING</t>
        </is>
      </c>
      <c r="B12" s="22" t="inlineStr">
        <is>
          <t>Ping</t>
        </is>
      </c>
      <c r="C12" s="22" t="inlineStr">
        <is>
          <t>Planning</t>
        </is>
      </c>
      <c r="D12" s="22" t="n">
        <v>1</v>
      </c>
      <c r="E12" s="22" t="n">
        <v>0</v>
      </c>
      <c r="F12" s="22" t="inlineStr">
        <is>
          <t>Unreliable rate-limited</t>
        </is>
      </c>
      <c r="G12" s="22" t="inlineStr">
        <is>
          <t>Cell/Direction</t>
        </is>
      </c>
      <c r="H12" s="22" t="inlineStr">
        <is>
          <t>Drop</t>
        </is>
      </c>
      <c r="I12" s="22" t="inlineStr">
        <is>
          <t>Rate limit</t>
        </is>
      </c>
      <c r="J12" s="22" t="inlineStr">
        <is>
          <t>Communication</t>
        </is>
      </c>
      <c r="K12" s="22" t="inlineStr">
        <is>
          <t>Nessuno</t>
        </is>
      </c>
      <c r="L12" s="22" t="n">
        <v>0</v>
      </c>
      <c r="M12" s="22" t="inlineStr">
        <is>
          <t>Espansione</t>
        </is>
      </c>
    </row>
    <row r="13">
      <c r="A13" s="22" t="inlineStr">
        <is>
          <t>ACT_DRAW</t>
        </is>
      </c>
      <c r="B13" s="22" t="inlineStr">
        <is>
          <t>Tactical Draw</t>
        </is>
      </c>
      <c r="C13" s="22" t="inlineStr">
        <is>
          <t>Planning</t>
        </is>
      </c>
      <c r="D13" s="22" t="n">
        <v>1</v>
      </c>
      <c r="E13" s="22" t="n">
        <v>0</v>
      </c>
      <c r="F13" s="22" t="inlineStr">
        <is>
          <t>Unreliable team-only</t>
        </is>
      </c>
      <c r="G13" s="22" t="inlineStr">
        <is>
          <t>Map overlay</t>
        </is>
      </c>
      <c r="H13" s="22" t="inlineStr">
        <is>
          <t>Expire</t>
        </is>
      </c>
      <c r="I13" s="22" t="inlineStr">
        <is>
          <t>Rate limit</t>
        </is>
      </c>
      <c r="J13" s="22" t="inlineStr">
        <is>
          <t>Communication</t>
        </is>
      </c>
      <c r="K13" s="22" t="inlineStr">
        <is>
          <t>Nessuno</t>
        </is>
      </c>
      <c r="L13" s="22" t="n">
        <v>0</v>
      </c>
      <c r="M13" s="22" t="inlineStr">
        <is>
          <t>Espansione</t>
        </is>
      </c>
    </row>
    <row r="14">
      <c r="A14" s="22" t="inlineStr">
        <is>
          <t>ACT_FASTSELECT</t>
        </is>
      </c>
      <c r="B14" s="22" t="inlineStr">
        <is>
          <t>FastSelect</t>
        </is>
      </c>
      <c r="C14" s="22" t="inlineStr">
        <is>
          <t>Resolution</t>
        </is>
      </c>
      <c r="D14" s="22" t="n">
        <v>10</v>
      </c>
      <c r="E14" s="22" t="n">
        <v>0</v>
      </c>
      <c r="F14" s="22" t="inlineStr">
        <is>
          <t>Reliable response</t>
        </is>
      </c>
      <c r="G14" s="22" t="inlineStr">
        <is>
          <t>Prepared options</t>
        </is>
      </c>
      <c r="H14" s="22" t="inlineStr">
        <is>
          <t>Default timeout</t>
        </is>
      </c>
      <c r="I14" s="22" t="inlineStr">
        <is>
          <t>Window expired</t>
        </is>
      </c>
      <c r="J14" s="22" t="inlineStr">
        <is>
          <t>Reaction</t>
        </is>
      </c>
      <c r="K14" s="22" t="inlineStr">
        <is>
          <t>Nessuno</t>
        </is>
      </c>
      <c r="L14" s="22" t="n">
        <v>0</v>
      </c>
      <c r="M14" s="22" t="inlineStr">
        <is>
          <t>Espansione</t>
        </is>
      </c>
    </row>
    <row r="15">
      <c r="A15" s="22" t="inlineStr">
        <is>
          <t>ACT_WAIT</t>
        </is>
      </c>
      <c r="B15" s="22" t="inlineStr">
        <is>
          <t>Wait/Hold</t>
        </is>
      </c>
      <c r="C15" s="22" t="inlineStr">
        <is>
          <t>Planning</t>
        </is>
      </c>
      <c r="D15" s="22" t="n">
        <v>10</v>
      </c>
      <c r="E15" s="22" t="n">
        <v>0</v>
      </c>
      <c r="F15" s="22" t="inlineStr">
        <is>
          <t>Reliable</t>
        </is>
      </c>
      <c r="G15" s="22" t="inlineStr">
        <is>
          <t>Self</t>
        </is>
      </c>
      <c r="H15" s="22" t="inlineStr">
        <is>
          <t>N/A</t>
        </is>
      </c>
      <c r="I15" s="22" t="inlineStr">
        <is>
          <t>None</t>
        </is>
      </c>
      <c r="J15" s="22" t="inlineStr">
        <is>
          <t>Planning</t>
        </is>
      </c>
      <c r="K15" s="22" t="inlineStr">
        <is>
          <t>Nessuno</t>
        </is>
      </c>
      <c r="L15" s="22" t="n">
        <v>-5</v>
      </c>
      <c r="M15" s="22" t="inlineStr">
        <is>
          <t>Slice</t>
        </is>
      </c>
    </row>
    <row r="20">
      <c r="A20" s="35" t="inlineStr">
        <is>
          <t>Timing partita iniziale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2" t="n"/>
      <c r="L20" s="22" t="n"/>
      <c r="M20" s="22" t="n"/>
    </row>
    <row r="21">
      <c r="A21" s="11" t="inlineStr">
        <is>
          <t>Parametro</t>
        </is>
      </c>
      <c r="B21" s="11" t="inlineStr">
        <is>
          <t>2v2</t>
        </is>
      </c>
      <c r="C21" s="11" t="inlineStr">
        <is>
          <t>3v3</t>
        </is>
      </c>
      <c r="D21" s="11" t="inlineStr">
        <is>
          <t>4v4</t>
        </is>
      </c>
      <c r="E21" s="11" t="inlineStr">
        <is>
          <t>Min</t>
        </is>
      </c>
      <c r="F21" s="11" t="inlineStr">
        <is>
          <t>Max</t>
        </is>
      </c>
      <c r="K21" s="22" t="n"/>
      <c r="L21" s="22" t="n"/>
      <c r="M21" s="22" t="n"/>
    </row>
    <row r="22">
      <c r="A22" t="inlineStr">
        <is>
          <t>Planning_sec</t>
        </is>
      </c>
      <c r="B22" t="n">
        <v>35</v>
      </c>
      <c r="C22" t="n">
        <v>35</v>
      </c>
      <c r="D22" t="n">
        <v>40</v>
      </c>
      <c r="E22" t="n">
        <v>30</v>
      </c>
      <c r="F22" t="n">
        <v>45</v>
      </c>
      <c r="K22" s="22" t="n"/>
      <c r="L22" s="22" t="n"/>
      <c r="M22" s="22" t="n"/>
    </row>
    <row r="23">
      <c r="A23" t="inlineStr">
        <is>
          <t>Resolution_sec</t>
        </is>
      </c>
      <c r="B23" t="n">
        <v>12</v>
      </c>
      <c r="C23" t="n">
        <v>15</v>
      </c>
      <c r="D23" t="n">
        <v>20</v>
      </c>
      <c r="E23" t="n">
        <v>6</v>
      </c>
      <c r="F23" t="n">
        <v>30</v>
      </c>
      <c r="K23" s="22" t="n"/>
      <c r="L23" s="22" t="n"/>
      <c r="M23" s="22" t="n"/>
    </row>
    <row r="24">
      <c r="A24" t="inlineStr">
        <is>
          <t>FastReaction_sec</t>
        </is>
      </c>
      <c r="B24" t="n">
        <v>6</v>
      </c>
      <c r="C24" t="n">
        <v>6</v>
      </c>
      <c r="D24" t="n">
        <v>6</v>
      </c>
      <c r="E24" t="n">
        <v>5</v>
      </c>
      <c r="F24" t="n">
        <v>10</v>
      </c>
      <c r="K24" s="22" t="n"/>
      <c r="L24" s="22" t="n"/>
      <c r="M24" s="22" t="n"/>
    </row>
    <row r="25">
      <c r="A25" t="inlineStr">
        <is>
          <t>EndTurn_sec</t>
        </is>
      </c>
      <c r="B25" t="n">
        <v>8</v>
      </c>
      <c r="C25" t="n">
        <v>10</v>
      </c>
      <c r="D25" t="n">
        <v>12</v>
      </c>
      <c r="E25" t="n">
        <v>5</v>
      </c>
      <c r="F25" t="n">
        <v>15</v>
      </c>
      <c r="K25" s="22" t="n"/>
      <c r="L25" s="22" t="n"/>
      <c r="M25" s="22" t="n"/>
    </row>
    <row r="26">
      <c r="A26" t="inlineStr">
        <is>
          <t>Max_Turni</t>
        </is>
      </c>
      <c r="B26" t="n">
        <v>12</v>
      </c>
      <c r="C26" t="n">
        <v>12</v>
      </c>
      <c r="D26" t="n">
        <v>12</v>
      </c>
      <c r="E26" t="n">
        <v>10</v>
      </c>
      <c r="F26" t="n">
        <v>12</v>
      </c>
      <c r="K26" s="22" t="n"/>
      <c r="L26" s="22" t="n"/>
      <c r="M26" s="22" t="n"/>
    </row>
    <row r="27">
      <c r="A27" t="inlineStr">
        <is>
          <t>Target_Match_min</t>
        </is>
      </c>
      <c r="B27" t="n">
        <v>22</v>
      </c>
      <c r="C27" t="n">
        <v>25</v>
      </c>
      <c r="D27" t="n">
        <v>30</v>
      </c>
      <c r="E27" t="n">
        <v>20</v>
      </c>
      <c r="F27" t="n">
        <v>30</v>
      </c>
      <c r="K27" s="22" t="n"/>
      <c r="L27" s="22" t="n"/>
      <c r="M27" s="22" t="n"/>
    </row>
  </sheetData>
  <mergeCells count="2">
    <mergeCell ref="A1:J1"/>
    <mergeCell ref="A20:J20"/>
  </mergeCells>
  <conditionalFormatting sqref="D4:D1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15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style="58" min="1" max="1"/>
    <col width="24" customWidth="1" style="58" min="2" max="2"/>
    <col width="13" customWidth="1" style="58" min="3" max="3"/>
    <col width="14" customWidth="1" style="58" min="4" max="4"/>
    <col width="15" customWidth="1" style="58" min="5" max="5"/>
    <col width="12" customWidth="1" style="58" min="6" max="6"/>
    <col width="11" customWidth="1" style="58" min="7" max="7"/>
    <col width="43" customWidth="1" style="58" min="8" max="8"/>
    <col width="18" customWidth="1" style="58" min="9" max="9"/>
  </cols>
  <sheetData>
    <row r="1" ht="30" customHeight="1" s="58">
      <c r="A1" s="9" t="inlineStr">
        <is>
          <t>Obiettivi dinamici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34" customHeight="1" s="58">
      <c r="A3" s="14" t="inlineStr">
        <is>
          <t>Objective_ID</t>
        </is>
      </c>
      <c r="B3" s="14" t="inlineStr">
        <is>
          <t>Nome</t>
        </is>
      </c>
      <c r="C3" s="14" t="inlineStr">
        <is>
          <t>Punti_Turno</t>
        </is>
      </c>
      <c r="D3" s="14" t="inlineStr">
        <is>
          <t>Contest_Radius</t>
        </is>
      </c>
      <c r="E3" s="14" t="inlineStr">
        <is>
          <t>Activate_Turni</t>
        </is>
      </c>
      <c r="F3" s="14" t="inlineStr">
        <is>
          <t>Reveal_Turn</t>
        </is>
      </c>
      <c r="G3" s="14" t="inlineStr">
        <is>
          <t>Risk_1_3</t>
        </is>
      </c>
      <c r="H3" s="14" t="inlineStr">
        <is>
          <t>Regola_Dinamica</t>
        </is>
      </c>
      <c r="I3" s="14" t="inlineStr">
        <is>
          <t>Focus</t>
        </is>
      </c>
    </row>
    <row r="4">
      <c r="A4" s="22" t="inlineStr">
        <is>
          <t>OBJ_MOVING_CORE</t>
        </is>
      </c>
      <c r="B4" s="22" t="inlineStr">
        <is>
          <t>Nucleo mobile</t>
        </is>
      </c>
      <c r="C4" s="22" t="n">
        <v>3</v>
      </c>
      <c r="D4" s="22" t="n">
        <v>2</v>
      </c>
      <c r="E4" s="22" t="n">
        <v>1</v>
      </c>
      <c r="F4" s="22" t="n">
        <v>1</v>
      </c>
      <c r="G4" s="22" t="n">
        <v>2</v>
      </c>
      <c r="H4" s="22" t="inlineStr">
        <is>
          <t>Percorso cambia ogni 3 turni</t>
        </is>
      </c>
      <c r="I4" s="22" t="inlineStr">
        <is>
          <t>Map + combat</t>
        </is>
      </c>
    </row>
    <row r="5">
      <c r="A5" s="22" t="inlineStr">
        <is>
          <t>OBJ_CAPTURE</t>
        </is>
      </c>
      <c r="B5" s="22" t="inlineStr">
        <is>
          <t>Punto di controllo</t>
        </is>
      </c>
      <c r="C5" s="22" t="n">
        <v>2</v>
      </c>
      <c r="D5" s="22" t="n">
        <v>2</v>
      </c>
      <c r="E5" s="22" t="n">
        <v>1</v>
      </c>
      <c r="F5" s="22" t="n">
        <v>1</v>
      </c>
      <c r="G5" s="22" t="n">
        <v>1</v>
      </c>
      <c r="H5" s="22" t="inlineStr">
        <is>
          <t>Punteggio per fine turno</t>
        </is>
      </c>
      <c r="I5" s="22" t="inlineStr">
        <is>
          <t>Positioning</t>
        </is>
      </c>
    </row>
    <row r="6">
      <c r="A6" s="22" t="inlineStr">
        <is>
          <t>OBJ_ESCORT</t>
        </is>
      </c>
      <c r="B6" s="22" t="inlineStr">
        <is>
          <t>Scorta drone</t>
        </is>
      </c>
      <c r="C6" s="22" t="n">
        <v>3</v>
      </c>
      <c r="D6" s="22" t="n">
        <v>1</v>
      </c>
      <c r="E6" s="22" t="n">
        <v>2</v>
      </c>
      <c r="F6" s="22" t="n">
        <v>1</v>
      </c>
      <c r="G6" s="22" t="n">
        <v>2</v>
      </c>
      <c r="H6" s="22" t="inlineStr">
        <is>
          <t>Drone usa path pubblico</t>
        </is>
      </c>
      <c r="I6" s="22" t="inlineStr">
        <is>
          <t>Movement</t>
        </is>
      </c>
    </row>
    <row r="7">
      <c r="A7" s="22" t="inlineStr">
        <is>
          <t>OBJ_RELAY</t>
        </is>
      </c>
      <c r="B7" s="22" t="inlineStr">
        <is>
          <t>Relay sensore</t>
        </is>
      </c>
      <c r="C7" s="22" t="n">
        <v>2</v>
      </c>
      <c r="D7" s="22" t="n">
        <v>2</v>
      </c>
      <c r="E7" s="22" t="n">
        <v>1</v>
      </c>
      <c r="F7" s="22" t="n">
        <v>1</v>
      </c>
      <c r="G7" s="22" t="n">
        <v>2</v>
      </c>
      <c r="H7" s="22" t="inlineStr">
        <is>
          <t>Aumenta visione squadra</t>
        </is>
      </c>
      <c r="I7" s="22" t="inlineStr">
        <is>
          <t>Vision</t>
        </is>
      </c>
    </row>
    <row r="8">
      <c r="A8" s="22" t="inlineStr">
        <is>
          <t>OBJ_SABOTAGE</t>
        </is>
      </c>
      <c r="B8" s="22" t="inlineStr">
        <is>
          <t>Sabotaggio</t>
        </is>
      </c>
      <c r="C8" s="22" t="n">
        <v>3</v>
      </c>
      <c r="D8" s="22" t="n">
        <v>1</v>
      </c>
      <c r="E8" s="22" t="n">
        <v>2</v>
      </c>
      <c r="F8" s="22" t="n">
        <v>2</v>
      </c>
      <c r="G8" s="22" t="n">
        <v>2</v>
      </c>
      <c r="H8" s="22" t="inlineStr">
        <is>
          <t>Richiede Activate consecutivo</t>
        </is>
      </c>
      <c r="I8" s="22" t="inlineStr">
        <is>
          <t>Interaction</t>
        </is>
      </c>
    </row>
    <row r="9">
      <c r="A9" s="22" t="inlineStr">
        <is>
          <t>OBJ_EXTRACTION</t>
        </is>
      </c>
      <c r="B9" s="22" t="inlineStr">
        <is>
          <t>Estrazione</t>
        </is>
      </c>
      <c r="C9" s="22" t="n">
        <v>4</v>
      </c>
      <c r="D9" s="22" t="n">
        <v>1</v>
      </c>
      <c r="E9" s="22" t="n">
        <v>3</v>
      </c>
      <c r="F9" s="22" t="n">
        <v>1</v>
      </c>
      <c r="G9" s="22" t="n">
        <v>3</v>
      </c>
      <c r="H9" s="22" t="inlineStr">
        <is>
          <t>Zona cambia dopo reveal</t>
        </is>
      </c>
      <c r="I9" s="22" t="inlineStr">
        <is>
          <t>Tempo</t>
        </is>
      </c>
    </row>
    <row r="10">
      <c r="A10" s="22" t="inlineStr">
        <is>
          <t>OBJ_RESOURCE</t>
        </is>
      </c>
      <c r="B10" s="22" t="inlineStr">
        <is>
          <t>Raccolta risorsa</t>
        </is>
      </c>
      <c r="C10" s="22" t="n">
        <v>1</v>
      </c>
      <c r="D10" s="22" t="n">
        <v>3</v>
      </c>
      <c r="E10" s="22" t="n">
        <v>1</v>
      </c>
      <c r="F10" s="22" t="n">
        <v>1</v>
      </c>
      <c r="G10" s="22" t="n">
        <v>1</v>
      </c>
      <c r="H10" s="22" t="inlineStr">
        <is>
          <t>Risorsa temporanea di squadra</t>
        </is>
      </c>
      <c r="I10" s="22" t="inlineStr">
        <is>
          <t>Economy</t>
        </is>
      </c>
    </row>
    <row r="11">
      <c r="A11" s="22" t="inlineStr">
        <is>
          <t>OBJ_HAZARD_CONTROL</t>
        </is>
      </c>
      <c r="B11" s="22" t="inlineStr">
        <is>
          <t>Controllo hazard</t>
        </is>
      </c>
      <c r="C11" s="22" t="n">
        <v>2</v>
      </c>
      <c r="D11" s="22" t="n">
        <v>2</v>
      </c>
      <c r="E11" s="22" t="n">
        <v>2</v>
      </c>
      <c r="F11" s="22" t="n">
        <v>1</v>
      </c>
      <c r="G11" s="22" t="n">
        <v>2</v>
      </c>
      <c r="H11" s="22" t="inlineStr">
        <is>
          <t>Gestione fuoco/acqua/elettricità</t>
        </is>
      </c>
      <c r="I11" s="22" t="inlineStr">
        <is>
          <t>Environment</t>
        </is>
      </c>
    </row>
  </sheetData>
  <mergeCells count="1">
    <mergeCell ref="A1:I1"/>
  </mergeCells>
  <conditionalFormatting sqref="C4:C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D4:D11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11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4:G11">
    <cfRule type="colorScale" priority="4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0" customWidth="1" style="58" min="2" max="2"/>
    <col width="14" customWidth="1" style="58" min="3" max="3"/>
    <col width="31" customWidth="1" style="58" min="4" max="4"/>
    <col width="20" customWidth="1" style="58" min="5" max="5"/>
    <col width="13" customWidth="1" style="58" min="6" max="6"/>
    <col width="14" customWidth="1" style="58" min="7" max="7"/>
    <col width="31" customWidth="1" style="58" min="8" max="8"/>
    <col width="16" customWidth="1" style="58" min="9" max="9"/>
  </cols>
  <sheetData>
    <row r="1" ht="30" customHeight="1" s="58">
      <c r="A1" s="9" t="inlineStr">
        <is>
          <t>Transizioni del grafo tattico 3D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34" customHeight="1" s="58">
      <c r="A3" s="14" t="inlineStr">
        <is>
          <t>Edge_ID</t>
        </is>
      </c>
      <c r="B3" s="14" t="inlineStr">
        <is>
          <t>Tipo</t>
        </is>
      </c>
      <c r="C3" s="14" t="inlineStr">
        <is>
          <t>Physical_Cost</t>
        </is>
      </c>
      <c r="D3" s="14" t="inlineStr">
        <is>
          <t>Condizione</t>
        </is>
      </c>
      <c r="E3" s="14" t="inlineStr">
        <is>
          <t>Interaction_Required</t>
        </is>
      </c>
      <c r="F3" s="14" t="inlineStr">
        <is>
          <t>Damage_Risk</t>
        </is>
      </c>
      <c r="G3" s="14" t="inlineStr">
        <is>
          <t>Tactical_Risk</t>
        </is>
      </c>
      <c r="H3" s="14" t="inlineStr">
        <is>
          <t>Validity</t>
        </is>
      </c>
      <c r="I3" s="14" t="inlineStr">
        <is>
          <t>Categoria</t>
        </is>
      </c>
    </row>
    <row r="4">
      <c r="A4" s="22" t="inlineStr">
        <is>
          <t>EDGE_WALK</t>
        </is>
      </c>
      <c r="B4" s="22" t="inlineStr">
        <is>
          <t>Walk</t>
        </is>
      </c>
      <c r="C4" s="22" t="n">
        <v>1</v>
      </c>
      <c r="D4" s="22" t="inlineStr">
        <is>
          <t>Adjacent same layer</t>
        </is>
      </c>
      <c r="E4" s="22" t="inlineStr">
        <is>
          <t>No</t>
        </is>
      </c>
      <c r="F4" s="22" t="n">
        <v>0</v>
      </c>
      <c r="G4" s="22" t="n">
        <v>0</v>
      </c>
      <c r="H4" s="22" t="inlineStr">
        <is>
          <t>Always</t>
        </is>
      </c>
      <c r="I4" s="22" t="inlineStr">
        <is>
          <t>Base</t>
        </is>
      </c>
    </row>
    <row r="5">
      <c r="A5" s="22" t="inlineStr">
        <is>
          <t>EDGE_STEP_UP</t>
        </is>
      </c>
      <c r="B5" s="22" t="inlineStr">
        <is>
          <t>Step Up</t>
        </is>
      </c>
      <c r="C5" s="22" t="n">
        <v>2</v>
      </c>
      <c r="D5" s="22" t="inlineStr">
        <is>
          <t>Height +1</t>
        </is>
      </c>
      <c r="E5" s="22" t="inlineStr">
        <is>
          <t>No</t>
        </is>
      </c>
      <c r="F5" s="22" t="n">
        <v>0</v>
      </c>
      <c r="G5" s="22" t="n">
        <v>0</v>
      </c>
      <c r="H5" s="22" t="inlineStr">
        <is>
          <t>Unit mobility &gt;=2</t>
        </is>
      </c>
      <c r="I5" s="22" t="inlineStr">
        <is>
          <t>Quota</t>
        </is>
      </c>
    </row>
    <row r="6">
      <c r="A6" s="22" t="inlineStr">
        <is>
          <t>EDGE_JUMP_DOWN</t>
        </is>
      </c>
      <c r="B6" s="22" t="inlineStr">
        <is>
          <t>Jump Down</t>
        </is>
      </c>
      <c r="C6" s="22" t="n">
        <v>1</v>
      </c>
      <c r="D6" s="22" t="inlineStr">
        <is>
          <t>Height -1/-2</t>
        </is>
      </c>
      <c r="E6" s="22" t="inlineStr">
        <is>
          <t>No</t>
        </is>
      </c>
      <c r="F6" s="22" t="n">
        <v>10</v>
      </c>
      <c r="G6" s="22" t="n">
        <v>1</v>
      </c>
      <c r="H6" s="22" t="inlineStr">
        <is>
          <t>Landing free</t>
        </is>
      </c>
      <c r="I6" s="22" t="inlineStr">
        <is>
          <t>Risk</t>
        </is>
      </c>
    </row>
    <row r="7">
      <c r="A7" s="22" t="inlineStr">
        <is>
          <t>EDGE_LADDER</t>
        </is>
      </c>
      <c r="B7" s="22" t="inlineStr">
        <is>
          <t>Ladder</t>
        </is>
      </c>
      <c r="C7" s="22" t="n">
        <v>3</v>
      </c>
      <c r="D7" s="22" t="inlineStr">
        <is>
          <t>Layer change</t>
        </is>
      </c>
      <c r="E7" s="22" t="inlineStr">
        <is>
          <t>Sì</t>
        </is>
      </c>
      <c r="F7" s="22" t="n">
        <v>0</v>
      </c>
      <c r="G7" s="22" t="n">
        <v>0</v>
      </c>
      <c r="H7" s="22" t="inlineStr">
        <is>
          <t>Not rooted</t>
        </is>
      </c>
      <c r="I7" s="22" t="inlineStr">
        <is>
          <t>Vertical</t>
        </is>
      </c>
    </row>
    <row r="8">
      <c r="A8" s="22" t="inlineStr">
        <is>
          <t>EDGE_BRIDGE</t>
        </is>
      </c>
      <c r="B8" s="22" t="inlineStr">
        <is>
          <t>Bridge</t>
        </is>
      </c>
      <c r="C8" s="22" t="n">
        <v>1</v>
      </c>
      <c r="D8" s="22" t="inlineStr">
        <is>
          <t>Bridge active</t>
        </is>
      </c>
      <c r="E8" s="22" t="inlineStr">
        <is>
          <t>No</t>
        </is>
      </c>
      <c r="F8" s="22" t="n">
        <v>0</v>
      </c>
      <c r="G8" s="22" t="n">
        <v>0</v>
      </c>
      <c r="H8" s="22" t="inlineStr">
        <is>
          <t>Edge not destroyed</t>
        </is>
      </c>
      <c r="I8" s="22" t="inlineStr">
        <is>
          <t>Dynamic</t>
        </is>
      </c>
    </row>
    <row r="9">
      <c r="A9" s="22" t="inlineStr">
        <is>
          <t>EDGE_TUNNEL</t>
        </is>
      </c>
      <c r="B9" s="22" t="inlineStr">
        <is>
          <t>Tunnel</t>
        </is>
      </c>
      <c r="C9" s="22" t="n">
        <v>1</v>
      </c>
      <c r="D9" s="22" t="inlineStr">
        <is>
          <t>Tunnel graph</t>
        </is>
      </c>
      <c r="E9" s="22" t="inlineStr">
        <is>
          <t>No</t>
        </is>
      </c>
      <c r="F9" s="22" t="n">
        <v>0</v>
      </c>
      <c r="G9" s="22" t="n">
        <v>0</v>
      </c>
      <c r="H9" s="22" t="inlineStr">
        <is>
          <t>Entrance visible/public</t>
        </is>
      </c>
      <c r="I9" s="22" t="inlineStr">
        <is>
          <t>Layer</t>
        </is>
      </c>
    </row>
    <row r="10">
      <c r="A10" s="22" t="inlineStr">
        <is>
          <t>EDGE_DOOR</t>
        </is>
      </c>
      <c r="B10" s="22" t="inlineStr">
        <is>
          <t>Door</t>
        </is>
      </c>
      <c r="C10" s="22" t="n">
        <v>2</v>
      </c>
      <c r="D10" s="22" t="inlineStr">
        <is>
          <t>Door state</t>
        </is>
      </c>
      <c r="E10" s="22" t="inlineStr">
        <is>
          <t>Sì</t>
        </is>
      </c>
      <c r="F10" s="22" t="n">
        <v>0</v>
      </c>
      <c r="G10" s="22" t="n">
        <v>0</v>
      </c>
      <c r="H10" s="22" t="inlineStr">
        <is>
          <t>Can interact</t>
        </is>
      </c>
      <c r="I10" s="22" t="inlineStr">
        <is>
          <t>Dynamic</t>
        </is>
      </c>
    </row>
    <row r="11">
      <c r="A11" s="22" t="inlineStr">
        <is>
          <t>EDGE_ELEVATOR</t>
        </is>
      </c>
      <c r="B11" s="22" t="inlineStr">
        <is>
          <t>Elevator</t>
        </is>
      </c>
      <c r="C11" s="22" t="n">
        <v>2</v>
      </c>
      <c r="D11" s="22" t="inlineStr">
        <is>
          <t>Platform at layer</t>
        </is>
      </c>
      <c r="E11" s="22" t="inlineStr">
        <is>
          <t>Sì</t>
        </is>
      </c>
      <c r="F11" s="22" t="n">
        <v>0</v>
      </c>
      <c r="G11" s="22" t="n">
        <v>1</v>
      </c>
      <c r="H11" s="22" t="inlineStr">
        <is>
          <t>Schedule/state valid</t>
        </is>
      </c>
      <c r="I11" s="22" t="inlineStr">
        <is>
          <t>Temporal</t>
        </is>
      </c>
    </row>
    <row r="12">
      <c r="A12" s="22" t="inlineStr">
        <is>
          <t>EDGE_DASH</t>
        </is>
      </c>
      <c r="B12" s="22" t="inlineStr">
        <is>
          <t>Dash Arc</t>
        </is>
      </c>
      <c r="C12" s="22" t="n">
        <v>1</v>
      </c>
      <c r="D12" s="22" t="inlineStr">
        <is>
          <t>Ability-specific</t>
        </is>
      </c>
      <c r="E12" s="22" t="inlineStr">
        <is>
          <t>No</t>
        </is>
      </c>
      <c r="F12" s="22" t="n">
        <v>0</v>
      </c>
      <c r="G12" s="22" t="n">
        <v>2</v>
      </c>
      <c r="H12" s="22" t="inlineStr">
        <is>
          <t>No hard block</t>
        </is>
      </c>
      <c r="I12" s="22" t="inlineStr">
        <is>
          <t>Ability</t>
        </is>
      </c>
    </row>
    <row r="13">
      <c r="A13" s="22" t="inlineStr">
        <is>
          <t>EDGE_TELEPORT</t>
        </is>
      </c>
      <c r="B13" s="22" t="inlineStr">
        <is>
          <t>Teleport</t>
        </is>
      </c>
      <c r="C13" s="22" t="n">
        <v>1</v>
      </c>
      <c r="D13" s="22" t="inlineStr">
        <is>
          <t>Anchor/ability</t>
        </is>
      </c>
      <c r="E13" s="22" t="inlineStr">
        <is>
          <t>No</t>
        </is>
      </c>
      <c r="F13" s="22" t="n">
        <v>0</v>
      </c>
      <c r="G13" s="22" t="n">
        <v>2</v>
      </c>
      <c r="H13" s="22" t="inlineStr">
        <is>
          <t>Anchor valid</t>
        </is>
      </c>
      <c r="I13" s="22" t="inlineStr">
        <is>
          <t>Ability</t>
        </is>
      </c>
    </row>
    <row r="14">
      <c r="A14" s="22" t="inlineStr">
        <is>
          <t>EDGE_ICE_SLIDE</t>
        </is>
      </c>
      <c r="B14" s="22" t="inlineStr">
        <is>
          <t>Ice Slide</t>
        </is>
      </c>
      <c r="C14" s="22" t="n">
        <v>1</v>
      </c>
      <c r="D14" s="22" t="inlineStr">
        <is>
          <t>Ice continuous</t>
        </is>
      </c>
      <c r="E14" s="22" t="inlineStr">
        <is>
          <t>No</t>
        </is>
      </c>
      <c r="F14" s="22" t="n">
        <v>0</v>
      </c>
      <c r="G14" s="22" t="n">
        <v>2</v>
      </c>
      <c r="H14" s="22" t="inlineStr">
        <is>
          <t>Cannot stop early</t>
        </is>
      </c>
      <c r="I14" s="22" t="inlineStr">
        <is>
          <t>Terrain</t>
        </is>
      </c>
    </row>
    <row r="15">
      <c r="A15" s="22" t="inlineStr">
        <is>
          <t>EDGE_DESTROYED</t>
        </is>
      </c>
      <c r="B15" s="22" t="inlineStr">
        <is>
          <t>Destroyed/Blocked</t>
        </is>
      </c>
      <c r="C15" s="22" t="n">
        <v>999</v>
      </c>
      <c r="D15" s="22" t="inlineStr">
        <is>
          <t>Revision changed</t>
        </is>
      </c>
      <c r="E15" s="22" t="inlineStr">
        <is>
          <t>No</t>
        </is>
      </c>
      <c r="F15" s="22" t="n">
        <v>0</v>
      </c>
      <c r="G15" s="22" t="n">
        <v>3</v>
      </c>
      <c r="H15" s="22" t="inlineStr">
        <is>
          <t>Invalid</t>
        </is>
      </c>
      <c r="I15" s="22" t="inlineStr">
        <is>
          <t>Block</t>
        </is>
      </c>
    </row>
  </sheetData>
  <mergeCells count="1">
    <mergeCell ref="A1:I1"/>
  </mergeCells>
  <conditionalFormatting sqref="C4:C15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15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4:G15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2" customWidth="1" style="58" min="1" max="1"/>
    <col width="23" customWidth="1" style="58" min="2" max="2"/>
    <col width="18" customWidth="1" style="58" min="3" max="3"/>
    <col width="10" customWidth="1" style="58" min="4" max="4"/>
    <col width="10" customWidth="1" style="58" min="5" max="5"/>
    <col width="10" customWidth="1" style="58" min="6" max="6"/>
    <col width="22" customWidth="1" style="58" min="7" max="7"/>
    <col width="24" customWidth="1" style="58" min="8" max="8"/>
    <col width="31" customWidth="1" style="58" min="9" max="9"/>
    <col width="18" customWidth="1" style="58" min="10" max="10"/>
  </cols>
  <sheetData>
    <row r="1" ht="30" customHeight="1" s="58">
      <c r="A1" s="9" t="inlineStr">
        <is>
          <t>Risorse di personaggio, squadra ed equipaggiamento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4" customHeight="1" s="58">
      <c r="A3" s="14" t="inlineStr">
        <is>
          <t>Resource_ID</t>
        </is>
      </c>
      <c r="B3" s="14" t="inlineStr">
        <is>
          <t>Nome</t>
        </is>
      </c>
      <c r="C3" s="14" t="inlineStr">
        <is>
          <t>Owner</t>
        </is>
      </c>
      <c r="D3" s="14" t="inlineStr">
        <is>
          <t>Cap</t>
        </is>
      </c>
      <c r="E3" s="14" t="inlineStr">
        <is>
          <t>Start</t>
        </is>
      </c>
      <c r="F3" s="14" t="inlineStr">
        <is>
          <t>Regen</t>
        </is>
      </c>
      <c r="G3" s="14" t="inlineStr">
        <is>
          <t>Regen_Trigger</t>
        </is>
      </c>
      <c r="H3" s="14" t="inlineStr">
        <is>
          <t>Spesa</t>
        </is>
      </c>
      <c r="I3" s="14" t="inlineStr">
        <is>
          <t>Regola</t>
        </is>
      </c>
      <c r="J3" s="14" t="inlineStr">
        <is>
          <t>Audience</t>
        </is>
      </c>
    </row>
    <row r="4">
      <c r="A4" s="22" t="inlineStr">
        <is>
          <t>RES_ACTION</t>
        </is>
      </c>
      <c r="B4" s="22" t="inlineStr">
        <is>
          <t>Action Points</t>
        </is>
      </c>
      <c r="C4" s="22" t="inlineStr">
        <is>
          <t>Global</t>
        </is>
      </c>
      <c r="D4" s="22" t="n">
        <v>2</v>
      </c>
      <c r="E4" s="22" t="n">
        <v>2</v>
      </c>
      <c r="F4" s="22" t="n">
        <v>0</v>
      </c>
      <c r="G4" s="22" t="inlineStr">
        <is>
          <t>Turn start</t>
        </is>
      </c>
      <c r="H4" s="22" t="inlineStr">
        <is>
          <t>Azioni</t>
        </is>
      </c>
      <c r="I4" s="22" t="inlineStr">
        <is>
          <t>No carry</t>
        </is>
      </c>
      <c r="J4" s="22" t="inlineStr">
        <is>
          <t>All</t>
        </is>
      </c>
    </row>
    <row r="5">
      <c r="A5" s="22" t="inlineStr">
        <is>
          <t>RES_REACTION</t>
        </is>
      </c>
      <c r="B5" s="22" t="inlineStr">
        <is>
          <t>Reaction Slot</t>
        </is>
      </c>
      <c r="C5" s="22" t="inlineStr">
        <is>
          <t>Global</t>
        </is>
      </c>
      <c r="D5" s="22" t="n">
        <v>1</v>
      </c>
      <c r="E5" s="22" t="n">
        <v>1</v>
      </c>
      <c r="F5" s="22" t="n">
        <v>0</v>
      </c>
      <c r="G5" s="22" t="inlineStr">
        <is>
          <t>Turn start</t>
        </is>
      </c>
      <c r="H5" s="22" t="inlineStr">
        <is>
          <t>FastSelect</t>
        </is>
      </c>
      <c r="I5" s="22" t="inlineStr">
        <is>
          <t>1 finestra max</t>
        </is>
      </c>
      <c r="J5" s="22" t="inlineStr">
        <is>
          <t>All</t>
        </is>
      </c>
    </row>
    <row r="6">
      <c r="A6" s="22" t="inlineStr">
        <is>
          <t>RES_INTEGRITY</t>
        </is>
      </c>
      <c r="B6" s="22" t="inlineStr">
        <is>
          <t>Integrità Strutturale</t>
        </is>
      </c>
      <c r="C6" s="22" t="inlineStr">
        <is>
          <t>Bastion</t>
        </is>
      </c>
      <c r="D6" s="22" t="n">
        <v>4</v>
      </c>
      <c r="E6" s="22" t="n">
        <v>0</v>
      </c>
      <c r="F6" s="22" t="n">
        <v>1</v>
      </c>
      <c r="G6" s="22" t="inlineStr">
        <is>
          <t>Cleanup</t>
        </is>
      </c>
      <c r="H6" s="22" t="inlineStr">
        <is>
          <t>Difesa/interpose</t>
        </is>
      </c>
      <c r="I6" s="22" t="inlineStr">
        <is>
          <t>Sinonimo di energia; nome e trigger per personaggio</t>
        </is>
      </c>
      <c r="J6" s="22" t="inlineStr">
        <is>
          <t>Team-visible</t>
        </is>
      </c>
    </row>
    <row r="7">
      <c r="A7" s="22" t="inlineStr">
        <is>
          <t>RES_FLOW</t>
        </is>
      </c>
      <c r="B7" s="22" t="inlineStr">
        <is>
          <t>Riserva Idrica</t>
        </is>
      </c>
      <c r="C7" s="22" t="inlineStr">
        <is>
          <t>Riva</t>
        </is>
      </c>
      <c r="D7" s="22" t="n">
        <v>4</v>
      </c>
      <c r="E7" s="22" t="n">
        <v>0</v>
      </c>
      <c r="F7" s="22" t="n">
        <v>1</v>
      </c>
      <c r="G7" s="22" t="inlineStr">
        <is>
          <t>Interazione con acqua</t>
        </is>
      </c>
      <c r="H7" s="22" t="inlineStr">
        <is>
          <t>Freeze/terrain</t>
        </is>
      </c>
      <c r="I7" s="22" t="inlineStr">
        <is>
          <t>Sinonimo di energia; nome e trigger per personaggio</t>
        </is>
      </c>
      <c r="J7" s="22" t="inlineStr">
        <is>
          <t>Team-visible</t>
        </is>
      </c>
    </row>
    <row r="8">
      <c r="A8" s="22" t="inlineStr">
        <is>
          <t>RES_MOMENTUM</t>
        </is>
      </c>
      <c r="B8" s="22" t="inlineStr">
        <is>
          <t>Slancio</t>
        </is>
      </c>
      <c r="C8" s="22" t="inlineStr">
        <is>
          <t>Vektor</t>
        </is>
      </c>
      <c r="D8" s="22" t="n">
        <v>4</v>
      </c>
      <c r="E8" s="22" t="n">
        <v>0</v>
      </c>
      <c r="F8" s="22" t="n">
        <v>1</v>
      </c>
      <c r="G8" s="22" t="inlineStr">
        <is>
          <t>Movimento eseguito</t>
        </is>
      </c>
      <c r="H8" s="22" t="inlineStr">
        <is>
          <t>Rail/Tracer</t>
        </is>
      </c>
      <c r="I8" s="22" t="inlineStr">
        <is>
          <t>Sinonimo di energia; nome e trigger per personaggio</t>
        </is>
      </c>
      <c r="J8" s="22" t="inlineStr">
        <is>
          <t>Team-visible</t>
        </is>
      </c>
    </row>
    <row r="9">
      <c r="A9" s="22" t="inlineStr">
        <is>
          <t>RES_CHARGE</t>
        </is>
      </c>
      <c r="B9" s="22" t="inlineStr">
        <is>
          <t>Carica Conduttiva</t>
        </is>
      </c>
      <c r="C9" s="22" t="inlineStr">
        <is>
          <t>Flux</t>
        </is>
      </c>
      <c r="D9" s="22" t="n">
        <v>4</v>
      </c>
      <c r="E9" s="22" t="n">
        <v>0</v>
      </c>
      <c r="F9" s="22" t="n">
        <v>1</v>
      </c>
      <c r="G9" s="22" t="inlineStr">
        <is>
          <t>Interazione elettrica</t>
        </is>
      </c>
      <c r="H9" s="22" t="inlineStr">
        <is>
          <t>Chain/counter</t>
        </is>
      </c>
      <c r="I9" s="22" t="inlineStr">
        <is>
          <t>Sinonimo di energia; nome e trigger per personaggio</t>
        </is>
      </c>
      <c r="J9" s="22" t="inlineStr">
        <is>
          <t>Team-visible</t>
        </is>
      </c>
    </row>
    <row r="10">
      <c r="A10" s="22" t="inlineStr">
        <is>
          <t>RES_OBJECTIVE</t>
        </is>
      </c>
      <c r="B10" s="22" t="inlineStr">
        <is>
          <t>Objective Charge</t>
        </is>
      </c>
      <c r="C10" s="22" t="inlineStr">
        <is>
          <t>Team</t>
        </is>
      </c>
      <c r="D10" s="22" t="n">
        <v>5</v>
      </c>
      <c r="E10" s="22" t="n">
        <v>0</v>
      </c>
      <c r="F10" s="22" t="n">
        <v>0</v>
      </c>
      <c r="G10" s="22" t="inlineStr">
        <is>
          <t>Objective tick</t>
        </is>
      </c>
      <c r="H10" s="22" t="inlineStr">
        <is>
          <t>Mode effects</t>
        </is>
      </c>
      <c r="I10" s="22" t="inlineStr">
        <is>
          <t>Public score</t>
        </is>
      </c>
      <c r="J10" s="22" t="inlineStr">
        <is>
          <t>Public</t>
        </is>
      </c>
    </row>
    <row r="11">
      <c r="A11" s="22" t="inlineStr">
        <is>
          <t>RES_SENSOR</t>
        </is>
      </c>
      <c r="B11" s="22" t="inlineStr">
        <is>
          <t>Sensor Charges</t>
        </is>
      </c>
      <c r="C11" s="22" t="inlineStr">
        <is>
          <t>Equipment</t>
        </is>
      </c>
      <c r="D11" s="22" t="n">
        <v>2</v>
      </c>
      <c r="E11" s="22" t="n">
        <v>2</v>
      </c>
      <c r="F11" s="22" t="n">
        <v>0</v>
      </c>
      <c r="G11" s="22" t="inlineStr">
        <is>
          <t>None</t>
        </is>
      </c>
      <c r="H11" s="22" t="inlineStr">
        <is>
          <t>Drone/scanner</t>
        </is>
      </c>
      <c r="I11" s="22" t="inlineStr">
        <is>
          <t>Per match</t>
        </is>
      </c>
      <c r="J11" s="22" t="inlineStr">
        <is>
          <t>Team-visible</t>
        </is>
      </c>
    </row>
    <row r="12">
      <c r="A12" s="22" t="inlineStr">
        <is>
          <t>RES_GADGET</t>
        </is>
      </c>
      <c r="B12" s="22" t="inlineStr">
        <is>
          <t>Gadget Uses</t>
        </is>
      </c>
      <c r="C12" s="22" t="inlineStr">
        <is>
          <t>Equipment</t>
        </is>
      </c>
      <c r="D12" s="22" t="n">
        <v>2</v>
      </c>
      <c r="E12" s="22" t="n">
        <v>2</v>
      </c>
      <c r="F12" s="22" t="n">
        <v>0</v>
      </c>
      <c r="G12" s="22" t="inlineStr">
        <is>
          <t>None</t>
        </is>
      </c>
      <c r="H12" s="22" t="inlineStr">
        <is>
          <t>Consumables</t>
        </is>
      </c>
      <c r="I12" s="22" t="inlineStr">
        <is>
          <t>Per match</t>
        </is>
      </c>
      <c r="J12" s="22" t="inlineStr">
        <is>
          <t>Team-visible</t>
        </is>
      </c>
    </row>
  </sheetData>
  <mergeCells count="1">
    <mergeCell ref="A1:J1"/>
  </mergeCells>
  <conditionalFormatting sqref="D4:D1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E4:E12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F4:F12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style="58" min="1" max="1"/>
    <col width="13" customWidth="1" style="58" min="2" max="2"/>
    <col width="13" customWidth="1" style="58" min="3" max="3"/>
    <col width="13" customWidth="1" style="58" min="4" max="4"/>
    <col width="13" customWidth="1" style="58" min="5" max="5"/>
    <col width="13" customWidth="1" style="58" min="6" max="6"/>
    <col width="14" customWidth="1" style="58" min="7" max="7"/>
    <col width="13" customWidth="1" style="58" min="8" max="8"/>
  </cols>
  <sheetData>
    <row r="1" ht="30" customHeight="1" s="58">
      <c r="A1" s="9" t="inlineStr">
        <is>
          <t>Pesi iniziali del bot per ruolo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58">
      <c r="A3" s="14" t="inlineStr">
        <is>
          <t>Criterion</t>
        </is>
      </c>
      <c r="B3" s="14" t="inlineStr">
        <is>
          <t>Guardian</t>
        </is>
      </c>
      <c r="C3" s="14" t="inlineStr">
        <is>
          <t>Controller</t>
        </is>
      </c>
      <c r="D3" s="14" t="inlineStr">
        <is>
          <t>Striker</t>
        </is>
      </c>
      <c r="E3" s="14" t="inlineStr">
        <is>
          <t>Marksman</t>
        </is>
      </c>
      <c r="F3" s="14" t="inlineStr">
        <is>
          <t>Support</t>
        </is>
      </c>
      <c r="G3" s="14" t="inlineStr">
        <is>
          <t>Infiltrator</t>
        </is>
      </c>
      <c r="H3" s="14" t="inlineStr">
        <is>
          <t>Bruiser</t>
        </is>
      </c>
    </row>
    <row r="4">
      <c r="A4" s="22" t="inlineStr">
        <is>
          <t>ExpectedDamage</t>
        </is>
      </c>
      <c r="B4" s="22" t="n">
        <v>3</v>
      </c>
      <c r="C4" s="22" t="n">
        <v>5</v>
      </c>
      <c r="D4" s="22" t="n">
        <v>8</v>
      </c>
      <c r="E4" s="22" t="n">
        <v>9</v>
      </c>
      <c r="F4" s="22" t="n">
        <v>2</v>
      </c>
      <c r="G4" s="22" t="n">
        <v>8</v>
      </c>
      <c r="H4" s="22" t="n">
        <v>7</v>
      </c>
    </row>
    <row r="5">
      <c r="A5" s="22" t="inlineStr">
        <is>
          <t>ExpectedControl</t>
        </is>
      </c>
      <c r="B5" s="22" t="n">
        <v>7</v>
      </c>
      <c r="C5" s="22" t="n">
        <v>10</v>
      </c>
      <c r="D5" s="22" t="n">
        <v>4</v>
      </c>
      <c r="E5" s="22" t="n">
        <v>5</v>
      </c>
      <c r="F5" s="22" t="n">
        <v>7</v>
      </c>
      <c r="G5" s="22" t="n">
        <v>5</v>
      </c>
      <c r="H5" s="22" t="n">
        <v>6</v>
      </c>
    </row>
    <row r="6">
      <c r="A6" s="22" t="inlineStr">
        <is>
          <t>AllyProtection</t>
        </is>
      </c>
      <c r="B6" s="22" t="n">
        <v>10</v>
      </c>
      <c r="C6" s="22" t="n">
        <v>6</v>
      </c>
      <c r="D6" s="22" t="n">
        <v>2</v>
      </c>
      <c r="E6" s="22" t="n">
        <v>2</v>
      </c>
      <c r="F6" s="22" t="n">
        <v>10</v>
      </c>
      <c r="G6" s="22" t="n">
        <v>1</v>
      </c>
      <c r="H6" s="22" t="n">
        <v>5</v>
      </c>
    </row>
    <row r="7">
      <c r="A7" s="22" t="inlineStr">
        <is>
          <t>ObjectiveProgress</t>
        </is>
      </c>
      <c r="B7" s="22" t="n">
        <v>7</v>
      </c>
      <c r="C7" s="22" t="n">
        <v>7</v>
      </c>
      <c r="D7" s="22" t="n">
        <v>7</v>
      </c>
      <c r="E7" s="22" t="n">
        <v>6</v>
      </c>
      <c r="F7" s="22" t="n">
        <v>8</v>
      </c>
      <c r="G7" s="22" t="n">
        <v>8</v>
      </c>
      <c r="H7" s="22" t="n">
        <v>8</v>
      </c>
    </row>
    <row r="8">
      <c r="A8" s="22" t="inlineStr">
        <is>
          <t>VisionGain</t>
        </is>
      </c>
      <c r="B8" s="22" t="n">
        <v>6</v>
      </c>
      <c r="C8" s="22" t="n">
        <v>8</v>
      </c>
      <c r="D8" s="22" t="n">
        <v>4</v>
      </c>
      <c r="E8" s="22" t="n">
        <v>8</v>
      </c>
      <c r="F8" s="22" t="n">
        <v>10</v>
      </c>
      <c r="G8" s="22" t="n">
        <v>8</v>
      </c>
      <c r="H8" s="22" t="n">
        <v>5</v>
      </c>
    </row>
    <row r="9">
      <c r="A9" s="22" t="inlineStr">
        <is>
          <t>StealthPreservation</t>
        </is>
      </c>
      <c r="B9" s="22" t="n">
        <v>2</v>
      </c>
      <c r="C9" s="22" t="n">
        <v>4</v>
      </c>
      <c r="D9" s="22" t="n">
        <v>5</v>
      </c>
      <c r="E9" s="22" t="n">
        <v>3</v>
      </c>
      <c r="F9" s="22" t="n">
        <v>4</v>
      </c>
      <c r="G9" s="22" t="n">
        <v>10</v>
      </c>
      <c r="H9" s="22" t="n">
        <v>3</v>
      </c>
    </row>
    <row r="10">
      <c r="A10" s="22" t="inlineStr">
        <is>
          <t>TerrainCombo</t>
        </is>
      </c>
      <c r="B10" s="22" t="n">
        <v>5</v>
      </c>
      <c r="C10" s="22" t="n">
        <v>10</v>
      </c>
      <c r="D10" s="22" t="n">
        <v>4</v>
      </c>
      <c r="E10" s="22" t="n">
        <v>5</v>
      </c>
      <c r="F10" s="22" t="n">
        <v>7</v>
      </c>
      <c r="G10" s="22" t="n">
        <v>6</v>
      </c>
      <c r="H10" s="22" t="n">
        <v>7</v>
      </c>
    </row>
    <row r="11">
      <c r="A11" s="22" t="inlineStr">
        <is>
          <t>Survival</t>
        </is>
      </c>
      <c r="B11" s="22" t="n">
        <v>9</v>
      </c>
      <c r="C11" s="22" t="n">
        <v>5</v>
      </c>
      <c r="D11" s="22" t="n">
        <v>4</v>
      </c>
      <c r="E11" s="22" t="n">
        <v>3</v>
      </c>
      <c r="F11" s="22" t="n">
        <v>7</v>
      </c>
      <c r="G11" s="22" t="n">
        <v>5</v>
      </c>
      <c r="H11" s="22" t="n">
        <v>8</v>
      </c>
    </row>
    <row r="12">
      <c r="A12" s="22" t="inlineStr">
        <is>
          <t>InterruptValue</t>
        </is>
      </c>
      <c r="B12" s="22" t="n">
        <v>9</v>
      </c>
      <c r="C12" s="22" t="n">
        <v>9</v>
      </c>
      <c r="D12" s="22" t="n">
        <v>5</v>
      </c>
      <c r="E12" s="22" t="n">
        <v>7</v>
      </c>
      <c r="F12" s="22" t="n">
        <v>8</v>
      </c>
      <c r="G12" s="22" t="n">
        <v>8</v>
      </c>
      <c r="H12" s="22" t="n">
        <v>7</v>
      </c>
    </row>
    <row r="13">
      <c r="A13" s="22" t="inlineStr">
        <is>
          <t>FriendlyFireRisk</t>
        </is>
      </c>
      <c r="B13" s="22" t="n">
        <v>-8</v>
      </c>
      <c r="C13" s="22" t="n">
        <v>-7</v>
      </c>
      <c r="D13" s="22" t="n">
        <v>-8</v>
      </c>
      <c r="E13" s="22" t="n">
        <v>-10</v>
      </c>
      <c r="F13" s="22" t="n">
        <v>-10</v>
      </c>
      <c r="G13" s="22" t="n">
        <v>-6</v>
      </c>
      <c r="H13" s="22" t="n">
        <v>-7</v>
      </c>
    </row>
    <row r="14">
      <c r="A14" s="22" t="inlineStr">
        <is>
          <t>InformationLeakRisk</t>
        </is>
      </c>
      <c r="B14" s="22" t="n">
        <v>-3</v>
      </c>
      <c r="C14" s="22" t="n">
        <v>-5</v>
      </c>
      <c r="D14" s="22" t="n">
        <v>-4</v>
      </c>
      <c r="E14" s="22" t="n">
        <v>-6</v>
      </c>
      <c r="F14" s="22" t="n">
        <v>-6</v>
      </c>
      <c r="G14" s="22" t="n">
        <v>-8</v>
      </c>
      <c r="H14" s="22" t="n">
        <v>-4</v>
      </c>
    </row>
    <row r="15">
      <c r="A15" s="22" t="inlineStr">
        <is>
          <t>UncertaintyPenalty</t>
        </is>
      </c>
      <c r="B15" s="22" t="n">
        <v>-4</v>
      </c>
      <c r="C15" s="22" t="n">
        <v>-5</v>
      </c>
      <c r="D15" s="22" t="n">
        <v>-3</v>
      </c>
      <c r="E15" s="22" t="n">
        <v>-7</v>
      </c>
      <c r="F15" s="22" t="n">
        <v>-4</v>
      </c>
      <c r="G15" s="22" t="n">
        <v>-5</v>
      </c>
      <c r="H15" s="22" t="n">
        <v>-4</v>
      </c>
    </row>
    <row r="16">
      <c r="A16" s="22" t="inlineStr">
        <is>
          <t>LastKnownContactValue</t>
        </is>
      </c>
      <c r="B16" s="22" t="n">
        <v>5</v>
      </c>
      <c r="C16" s="22" t="n">
        <v>6</v>
      </c>
      <c r="D16" s="22" t="n">
        <v>4</v>
      </c>
      <c r="E16" s="22" t="n">
        <v>7</v>
      </c>
      <c r="F16" s="22" t="n">
        <v>6</v>
      </c>
      <c r="G16" s="22" t="n">
        <v>7</v>
      </c>
      <c r="H16" s="22" t="n">
        <v>4</v>
      </c>
    </row>
    <row r="17">
      <c r="A17" s="22" t="inlineStr">
        <is>
          <t>ContactDenialValue</t>
        </is>
      </c>
      <c r="B17" s="22" t="n">
        <v>4</v>
      </c>
      <c r="C17" s="22" t="n">
        <v>7</v>
      </c>
      <c r="D17" s="22" t="n">
        <v>3</v>
      </c>
      <c r="E17" s="22" t="n">
        <v>4</v>
      </c>
      <c r="F17" s="22" t="n">
        <v>5</v>
      </c>
      <c r="G17" s="22" t="n">
        <v>9</v>
      </c>
      <c r="H17" s="22" t="n">
        <v>3</v>
      </c>
    </row>
  </sheetData>
  <mergeCells count="1">
    <mergeCell ref="A1:H1"/>
  </mergeCells>
  <conditionalFormatting sqref="B4:B15">
    <cfRule type="colorScale" priority="1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C4:C15">
    <cfRule type="colorScale" priority="2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D4:D15">
    <cfRule type="colorScale" priority="3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E4:E15">
    <cfRule type="colorScale" priority="4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F4:F15">
    <cfRule type="colorScale" priority="5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G4:G15">
    <cfRule type="colorScale" priority="6">
      <colorScale>
        <cfvo type="min"/>
        <cfvo type="percentile" val="50"/>
        <cfvo type="max"/>
        <color rgb="FFFCA5A5"/>
        <color rgb="FFFEF3C7"/>
        <color rgb="FF86EFAC"/>
      </colorScale>
    </cfRule>
  </conditionalFormatting>
  <conditionalFormatting sqref="H4:H15">
    <cfRule type="colorScale" priority="7">
      <colorScale>
        <cfvo type="min"/>
        <cfvo type="percentile" val="50"/>
        <cfvo type="max"/>
        <color rgb="FFFCA5A5"/>
        <color rgb="FFFEF3C7"/>
        <color rgb="FF86EFAC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3" customWidth="1" style="58" min="1" max="1"/>
    <col width="35" customWidth="1" style="58" min="2" max="2"/>
    <col width="25" customWidth="1" style="58" min="3" max="3"/>
    <col width="12" customWidth="1" style="58" min="4" max="4"/>
    <col width="21" customWidth="1" style="58" min="5" max="5"/>
    <col width="27" customWidth="1" style="58" min="6" max="6"/>
    <col width="35" customWidth="1" style="58" min="7" max="7"/>
    <col width="12" customWidth="1" style="58" min="8" max="8"/>
    <col width="20" customWidth="1" style="58" min="9" max="9"/>
  </cols>
  <sheetData>
    <row r="1" ht="30" customHeight="1" s="58">
      <c r="A1" s="9" t="inlineStr">
        <is>
          <t>Networking, privacy e frequenze di aggiornamento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 ht="34" customHeight="1" s="58">
      <c r="A3" s="14" t="inlineStr">
        <is>
          <t>Payload</t>
        </is>
      </c>
      <c r="B3" s="14" t="inlineStr">
        <is>
          <t>Contenuto</t>
        </is>
      </c>
      <c r="C3" s="14" t="inlineStr">
        <is>
          <t>Audience</t>
        </is>
      </c>
      <c r="D3" s="14" t="inlineStr">
        <is>
          <t>Update_Hz</t>
        </is>
      </c>
      <c r="E3" s="14" t="inlineStr">
        <is>
          <t>Reliability</t>
        </is>
      </c>
      <c r="F3" s="14" t="inlineStr">
        <is>
          <t>Trasporto</t>
        </is>
      </c>
      <c r="G3" s="14" t="inlineStr">
        <is>
          <t>Privacy_Regola</t>
        </is>
      </c>
      <c r="H3" s="14" t="inlineStr">
        <is>
          <t>Priorità</t>
        </is>
      </c>
      <c r="I3" s="14" t="inlineStr">
        <is>
          <t>Target</t>
        </is>
      </c>
    </row>
    <row r="4">
      <c r="A4" s="22" t="inlineStr">
        <is>
          <t>CanonicalIntentStore</t>
        </is>
      </c>
      <c r="B4" s="22" t="inlineStr">
        <is>
          <t>Intento completo</t>
        </is>
      </c>
      <c r="C4" s="22" t="inlineStr">
        <is>
          <t>Server only</t>
        </is>
      </c>
      <c r="D4" s="22" t="n">
        <v>0</v>
      </c>
      <c r="E4" s="22" t="inlineStr">
        <is>
          <t>N/A</t>
        </is>
      </c>
      <c r="F4" s="22" t="inlineStr">
        <is>
          <t>No replication</t>
        </is>
      </c>
      <c r="G4" s="22" t="inlineStr">
        <is>
          <t>Mai ai client</t>
        </is>
      </c>
      <c r="H4" s="22" t="inlineStr">
        <is>
          <t>P0</t>
        </is>
      </c>
      <c r="I4" s="22" t="inlineStr">
        <is>
          <t>Zero leak</t>
        </is>
      </c>
    </row>
    <row r="5">
      <c r="A5" s="22" t="inlineStr">
        <is>
          <t>TeamIntentPreview</t>
        </is>
      </c>
      <c r="B5" s="22" t="inlineStr">
        <is>
          <t>Path/target/AoE/label/ready</t>
        </is>
      </c>
      <c r="C5" s="22" t="inlineStr">
        <is>
          <t>Own team</t>
        </is>
      </c>
      <c r="D5" s="22" t="n">
        <v>10</v>
      </c>
      <c r="E5" s="22" t="inlineStr">
        <is>
          <t>Unreliable sequenced</t>
        </is>
      </c>
      <c r="F5" s="22" t="inlineStr">
        <is>
          <t>Client RPC sanitized</t>
        </is>
      </c>
      <c r="G5" s="22" t="inlineStr">
        <is>
          <t>No enemy packets</t>
        </is>
      </c>
      <c r="H5" s="22" t="inlineStr">
        <is>
          <t>P0</t>
        </is>
      </c>
      <c r="I5" s="22" t="inlineStr">
        <is>
          <t>&lt;50 ms</t>
        </is>
      </c>
    </row>
    <row r="6">
      <c r="A6" s="22" t="inlineStr">
        <is>
          <t>IntentCommit</t>
        </is>
      </c>
      <c r="B6" s="22" t="inlineStr">
        <is>
          <t>Intento canonico</t>
        </is>
      </c>
      <c r="C6" s="22" t="inlineStr">
        <is>
          <t>Server</t>
        </is>
      </c>
      <c r="D6" s="22" t="n">
        <v>0</v>
      </c>
      <c r="E6" s="22" t="inlineStr">
        <is>
          <t>Reliable</t>
        </is>
      </c>
      <c r="F6" s="22" t="inlineStr">
        <is>
          <t>Server RPC</t>
        </is>
      </c>
      <c r="G6" s="22" t="inlineStr">
        <is>
          <t>Validated</t>
        </is>
      </c>
      <c r="H6" s="22" t="inlineStr">
        <is>
          <t>P0</t>
        </is>
      </c>
      <c r="I6" s="22" t="inlineStr">
        <is>
          <t>Ack required</t>
        </is>
      </c>
    </row>
    <row r="7">
      <c r="A7" s="22" t="inlineStr">
        <is>
          <t>ReadyState</t>
        </is>
      </c>
      <c r="B7" s="22" t="inlineStr">
        <is>
          <t>Ready/unready</t>
        </is>
      </c>
      <c r="C7" s="22" t="inlineStr">
        <is>
          <t>Own team/Public count</t>
        </is>
      </c>
      <c r="D7" s="22" t="n">
        <v>0</v>
      </c>
      <c r="E7" s="22" t="inlineStr">
        <is>
          <t>Reliable</t>
        </is>
      </c>
      <c r="F7" s="22" t="inlineStr">
        <is>
          <t>Replicated/RPC</t>
        </is>
      </c>
      <c r="G7" s="22" t="inlineStr">
        <is>
          <t>No action details</t>
        </is>
      </c>
      <c r="H7" s="22" t="inlineStr">
        <is>
          <t>P0</t>
        </is>
      </c>
      <c r="I7" s="22" t="inlineStr">
        <is>
          <t>Countdown reset</t>
        </is>
      </c>
    </row>
    <row r="8">
      <c r="A8" s="22" t="inlineStr">
        <is>
          <t>FastReactionChoice</t>
        </is>
      </c>
      <c r="B8" s="22" t="inlineStr">
        <is>
          <t>Scelta A/B</t>
        </is>
      </c>
      <c r="C8" s="22" t="inlineStr">
        <is>
          <t>Server + owner</t>
        </is>
      </c>
      <c r="D8" s="22" t="n">
        <v>0</v>
      </c>
      <c r="E8" s="22" t="inlineStr">
        <is>
          <t>Reliable</t>
        </is>
      </c>
      <c r="F8" s="22" t="inlineStr">
        <is>
          <t>Server RPC</t>
        </is>
      </c>
      <c r="G8" s="22" t="inlineStr">
        <is>
          <t>Hidden until resolved</t>
        </is>
      </c>
      <c r="H8" s="22" t="inlineStr">
        <is>
          <t>P0</t>
        </is>
      </c>
      <c r="I8" s="22" t="inlineStr">
        <is>
          <t>Deadline enforced</t>
        </is>
      </c>
    </row>
    <row r="9">
      <c r="A9" s="22" t="inlineStr">
        <is>
          <t>VisibleEnemyState</t>
        </is>
      </c>
      <c r="B9" s="22" t="inlineStr">
        <is>
          <t>Transform/status consentiti</t>
        </is>
      </c>
      <c r="C9" s="22" t="inlineStr">
        <is>
          <t>Authorized team</t>
        </is>
      </c>
      <c r="D9" s="22" t="n">
        <v>8</v>
      </c>
      <c r="E9" s="22" t="inlineStr">
        <is>
          <t>Reliable delta</t>
        </is>
      </c>
      <c r="F9" s="22" t="inlineStr">
        <is>
          <t>Sanitized representation</t>
        </is>
      </c>
      <c r="G9" s="22" t="inlineStr">
        <is>
          <t>No hidden actor replication</t>
        </is>
      </c>
      <c r="H9" s="22" t="inlineStr">
        <is>
          <t>P0</t>
        </is>
      </c>
      <c r="I9" s="22" t="inlineStr">
        <is>
          <t>Relevancy</t>
        </is>
      </c>
    </row>
    <row r="10">
      <c r="A10" s="22" t="inlineStr">
        <is>
          <t>ContactMarker</t>
        </is>
      </c>
      <c r="B10" s="22" t="inlineStr">
        <is>
          <t>Cell/area/confidence</t>
        </is>
      </c>
      <c r="C10" s="22" t="inlineStr">
        <is>
          <t>Authorized team</t>
        </is>
      </c>
      <c r="D10" s="22" t="n">
        <v>8</v>
      </c>
      <c r="E10" s="22" t="inlineStr">
        <is>
          <t>Reliable delta</t>
        </is>
      </c>
      <c r="F10" s="22" t="inlineStr">
        <is>
          <t>Team knowledge relay</t>
        </is>
      </c>
      <c r="G10" s="22" t="inlineStr">
        <is>
          <t>No true transform</t>
        </is>
      </c>
      <c r="H10" s="22" t="inlineStr">
        <is>
          <t>P0</t>
        </is>
      </c>
      <c r="I10" s="22" t="inlineStr">
        <is>
          <t>Uncertainty</t>
        </is>
      </c>
    </row>
    <row r="11">
      <c r="A11" s="22" t="inlineStr">
        <is>
          <t>TurnResult</t>
        </is>
      </c>
      <c r="B11" s="22" t="inlineStr">
        <is>
          <t>Eventi autorevoli</t>
        </is>
      </c>
      <c r="C11" s="22" t="inlineStr">
        <is>
          <t>All clients</t>
        </is>
      </c>
      <c r="D11" s="22" t="n">
        <v>0</v>
      </c>
      <c r="E11" s="22" t="inlineStr">
        <is>
          <t>Reliable</t>
        </is>
      </c>
      <c r="F11" s="22" t="inlineStr">
        <is>
          <t>Replicated log/RPC</t>
        </is>
      </c>
      <c r="G11" s="22" t="inlineStr">
        <is>
          <t>Only resolved facts</t>
        </is>
      </c>
      <c r="H11" s="22" t="inlineStr">
        <is>
          <t>P0</t>
        </is>
      </c>
      <c r="I11" s="22" t="inlineStr">
        <is>
          <t>Replay-safe</t>
        </is>
      </c>
    </row>
    <row r="12">
      <c r="A12" s="22" t="inlineStr">
        <is>
          <t>Ping</t>
        </is>
      </c>
      <c r="B12" s="22" t="inlineStr">
        <is>
          <t>Cell/direction/type</t>
        </is>
      </c>
      <c r="C12" s="22" t="inlineStr">
        <is>
          <t>Own team</t>
        </is>
      </c>
      <c r="D12" s="22" t="n">
        <v>4</v>
      </c>
      <c r="E12" s="22" t="inlineStr">
        <is>
          <t>Unreliable</t>
        </is>
      </c>
      <c r="F12" s="22" t="inlineStr">
        <is>
          <t>Rate-limited relay</t>
        </is>
      </c>
      <c r="G12" s="22" t="inlineStr">
        <is>
          <t>No enemy packets</t>
        </is>
      </c>
      <c r="H12" s="22" t="inlineStr">
        <is>
          <t>P1</t>
        </is>
      </c>
      <c r="I12" s="22" t="inlineStr">
        <is>
          <t>Burst limit</t>
        </is>
      </c>
    </row>
    <row r="13">
      <c r="A13" s="22" t="inlineStr">
        <is>
          <t>TacticalDraw</t>
        </is>
      </c>
      <c r="B13" s="22" t="inlineStr">
        <is>
          <t>Polyline temporary</t>
        </is>
      </c>
      <c r="C13" s="22" t="inlineStr">
        <is>
          <t>Own team</t>
        </is>
      </c>
      <c r="D13" s="22" t="n">
        <v>5</v>
      </c>
      <c r="E13" s="22" t="inlineStr">
        <is>
          <t>Unreliable</t>
        </is>
      </c>
      <c r="F13" s="22" t="inlineStr">
        <is>
          <t>Rate-limited relay</t>
        </is>
      </c>
      <c r="G13" s="22" t="inlineStr">
        <is>
          <t>Expiry</t>
        </is>
      </c>
      <c r="H13" s="22" t="inlineStr">
        <is>
          <t>P1</t>
        </is>
      </c>
      <c r="I13" s="22" t="inlineStr">
        <is>
          <t>Compression</t>
        </is>
      </c>
    </row>
    <row r="14">
      <c r="A14" s="22" t="inlineStr">
        <is>
          <t>FullReplay</t>
        </is>
      </c>
      <c r="B14" s="22" t="inlineStr">
        <is>
          <t>Snapshot/log completo</t>
        </is>
      </c>
      <c r="C14" s="22" t="inlineStr">
        <is>
          <t>Server/post-match</t>
        </is>
      </c>
      <c r="D14" s="22" t="n">
        <v>0</v>
      </c>
      <c r="E14" s="22" t="inlineStr">
        <is>
          <t>Reliable storage</t>
        </is>
      </c>
      <c r="F14" s="22" t="inlineStr">
        <is>
          <t>Not live to opponents</t>
        </is>
      </c>
      <c r="G14" s="22" t="inlineStr">
        <is>
          <t>Post-match only</t>
        </is>
      </c>
      <c r="H14" s="22" t="inlineStr">
        <is>
          <t>P1</t>
        </is>
      </c>
      <c r="I14" s="22" t="inlineStr">
        <is>
          <t>Hash verified</t>
        </is>
      </c>
    </row>
  </sheetData>
  <mergeCells count="1">
    <mergeCell ref="A1:I1"/>
  </mergeCells>
  <conditionalFormatting sqref="D4:D1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style="58" min="1" max="1"/>
    <col width="18" customWidth="1" style="58" min="2" max="2"/>
    <col width="12" customWidth="1" style="58" min="3" max="3"/>
    <col width="18" customWidth="1" style="58" min="4" max="4"/>
    <col width="14" customWidth="1" style="58" min="5" max="5"/>
    <col width="28" customWidth="1" style="58" min="6" max="6"/>
    <col width="12" customWidth="1" style="58" min="7" max="7"/>
    <col width="36" customWidth="1" style="58" min="8" max="8"/>
  </cols>
  <sheetData>
    <row r="1" ht="30" customHeight="1" s="58">
      <c r="A1" s="9" t="inlineStr">
        <is>
          <t>Target tecnici e Definition of Done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58">
      <c r="A3" s="14" t="inlineStr">
        <is>
          <t>KPI</t>
        </is>
      </c>
      <c r="B3" s="14" t="inlineStr">
        <is>
          <t>Area</t>
        </is>
      </c>
      <c r="C3" s="14" t="inlineStr">
        <is>
          <t>Target</t>
        </is>
      </c>
      <c r="D3" s="14" t="inlineStr">
        <is>
          <t>Warning_Threshold</t>
        </is>
      </c>
      <c r="E3" s="14" t="inlineStr">
        <is>
          <t>Unità</t>
        </is>
      </c>
      <c r="F3" s="14" t="inlineStr">
        <is>
          <t>Metodo</t>
        </is>
      </c>
      <c r="G3" s="14" t="inlineStr">
        <is>
          <t>Priorità</t>
        </is>
      </c>
      <c r="H3" s="14" t="inlineStr">
        <is>
          <t>Note</t>
        </is>
      </c>
    </row>
    <row r="4">
      <c r="A4" s="22" t="inlineStr">
        <is>
          <t>Client FPS</t>
        </is>
      </c>
      <c r="B4" s="22" t="inlineStr">
        <is>
          <t>Performance</t>
        </is>
      </c>
      <c r="C4" s="22" t="n">
        <v>60</v>
      </c>
      <c r="D4" s="22" t="n">
        <v>55</v>
      </c>
      <c r="E4" s="22" t="inlineStr">
        <is>
          <t>fps</t>
        </is>
      </c>
      <c r="F4" s="22" t="inlineStr">
        <is>
          <t>Packaged build</t>
        </is>
      </c>
      <c r="G4" s="22" t="inlineStr">
        <is>
          <t>P0</t>
        </is>
      </c>
      <c r="H4" s="22" t="inlineStr">
        <is>
          <t>Fail below threshold</t>
        </is>
      </c>
    </row>
    <row r="5">
      <c r="A5" s="22" t="inlineStr">
        <is>
          <t>Path query median</t>
        </is>
      </c>
      <c r="B5" s="22" t="inlineStr">
        <is>
          <t>Pathfinding</t>
        </is>
      </c>
      <c r="C5" s="22" t="n">
        <v>2</v>
      </c>
      <c r="D5" s="22" t="n">
        <v>4</v>
      </c>
      <c r="E5" s="22" t="inlineStr">
        <is>
          <t>ms</t>
        </is>
      </c>
      <c r="F5" s="22" t="inlineStr">
        <is>
          <t>Automation benchmark</t>
        </is>
      </c>
      <c r="G5" s="22" t="inlineStr">
        <is>
          <t>P0</t>
        </is>
      </c>
      <c r="H5" s="22" t="inlineStr">
        <is>
          <t>A* graph</t>
        </is>
      </c>
    </row>
    <row r="6">
      <c r="A6" s="22" t="inlineStr">
        <is>
          <t>Intent preview complete</t>
        </is>
      </c>
      <c r="B6" s="22" t="inlineStr">
        <is>
          <t>Networking</t>
        </is>
      </c>
      <c r="C6" s="22" t="n">
        <v>50</v>
      </c>
      <c r="D6" s="22" t="n">
        <v>80</v>
      </c>
      <c r="E6" s="22" t="inlineStr">
        <is>
          <t>ms</t>
        </is>
      </c>
      <c r="F6" s="22" t="inlineStr">
        <is>
          <t>Listen/dedicated test</t>
        </is>
      </c>
      <c r="G6" s="22" t="inlineStr">
        <is>
          <t>P0</t>
        </is>
      </c>
      <c r="H6" s="22" t="inlineStr">
        <is>
          <t>8–12 Hz</t>
        </is>
      </c>
    </row>
    <row r="7">
      <c r="A7" s="22" t="inlineStr">
        <is>
          <t>Resolution server</t>
        </is>
      </c>
      <c r="B7" s="22" t="inlineStr">
        <is>
          <t>Simulation</t>
        </is>
      </c>
      <c r="C7" s="22" t="n">
        <v>100</v>
      </c>
      <c r="D7" s="22" t="n">
        <v>150</v>
      </c>
      <c r="E7" s="22" t="inlineStr">
        <is>
          <t>ms/match turn</t>
        </is>
      </c>
      <c r="F7" s="22" t="inlineStr">
        <is>
          <t>Deterministic benchmark</t>
        </is>
      </c>
      <c r="G7" s="22" t="inlineStr">
        <is>
          <t>P0</t>
        </is>
      </c>
      <c r="H7" s="22" t="inlineStr">
        <is>
          <t>MVP</t>
        </is>
      </c>
    </row>
    <row r="8">
      <c r="A8" s="22" t="inlineStr">
        <is>
          <t>Intent update rate</t>
        </is>
      </c>
      <c r="B8" s="22" t="inlineStr">
        <is>
          <t>Networking</t>
        </is>
      </c>
      <c r="C8" s="22" t="n">
        <v>10</v>
      </c>
      <c r="D8" s="22" t="n">
        <v>8</v>
      </c>
      <c r="E8" s="22" t="inlineStr">
        <is>
          <t>Hz</t>
        </is>
      </c>
      <c r="F8" s="22" t="inlineStr">
        <is>
          <t>Net trace</t>
        </is>
      </c>
      <c r="G8" s="22" t="inlineStr">
        <is>
          <t>P0</t>
        </is>
      </c>
      <c r="H8" s="22" t="inlineStr">
        <is>
          <t>Target 8–12</t>
        </is>
      </c>
    </row>
    <row r="9">
      <c r="A9" s="22" t="inlineStr">
        <is>
          <t>Replay divergences</t>
        </is>
      </c>
      <c r="B9" s="22" t="inlineStr">
        <is>
          <t>Determinism</t>
        </is>
      </c>
      <c r="C9" s="22" t="n">
        <v>0</v>
      </c>
      <c r="D9" s="22" t="n">
        <v>1</v>
      </c>
      <c r="E9" s="22" t="inlineStr">
        <is>
          <t>count</t>
        </is>
      </c>
      <c r="F9" s="22" t="inlineStr">
        <is>
          <t>Golden replay</t>
        </is>
      </c>
      <c r="G9" s="22" t="inlineStr">
        <is>
          <t>P0</t>
        </is>
      </c>
      <c r="H9" s="22" t="inlineStr">
        <is>
          <t>Must be zero</t>
        </is>
      </c>
    </row>
    <row r="10">
      <c r="A10" s="22" t="inlineStr">
        <is>
          <t>Intent leaks</t>
        </is>
      </c>
      <c r="B10" s="22" t="inlineStr">
        <is>
          <t>Privacy</t>
        </is>
      </c>
      <c r="C10" s="22" t="n">
        <v>0</v>
      </c>
      <c r="D10" s="22" t="n">
        <v>1</v>
      </c>
      <c r="E10" s="22" t="inlineStr">
        <is>
          <t>count</t>
        </is>
      </c>
      <c r="F10" s="22" t="inlineStr">
        <is>
          <t>Packet capture/security test</t>
        </is>
      </c>
      <c r="G10" s="22" t="inlineStr">
        <is>
          <t>P0</t>
        </is>
      </c>
      <c r="H10" s="22" t="inlineStr">
        <is>
          <t>Must be zero</t>
        </is>
      </c>
    </row>
    <row r="11">
      <c r="A11" s="22" t="inlineStr">
        <is>
          <t>Planning packet loss tolerance</t>
        </is>
      </c>
      <c r="B11" s="22" t="inlineStr">
        <is>
          <t>Networking</t>
        </is>
      </c>
      <c r="C11" s="22" t="n">
        <v>10</v>
      </c>
      <c r="D11" s="22" t="n">
        <v>5</v>
      </c>
      <c r="E11" s="22" t="inlineStr">
        <is>
          <t>%</t>
        </is>
      </c>
      <c r="F11" s="22" t="inlineStr">
        <is>
          <t>Network emulation</t>
        </is>
      </c>
      <c r="G11" s="22" t="inlineStr">
        <is>
          <t>P1</t>
        </is>
      </c>
      <c r="H11" s="22" t="inlineStr">
        <is>
          <t>Preview only</t>
        </is>
      </c>
    </row>
    <row r="12">
      <c r="A12" s="22" t="inlineStr">
        <is>
          <t>TurnLog completeness</t>
        </is>
      </c>
      <c r="B12" s="22" t="inlineStr">
        <is>
          <t>Debug</t>
        </is>
      </c>
      <c r="C12" s="22" t="n">
        <v>100</v>
      </c>
      <c r="D12" s="22" t="n">
        <v>95</v>
      </c>
      <c r="E12" s="22" t="inlineStr">
        <is>
          <t>% events</t>
        </is>
      </c>
      <c r="F12" s="22" t="inlineStr">
        <is>
          <t>Automation assertion</t>
        </is>
      </c>
      <c r="G12" s="22" t="inlineStr">
        <is>
          <t>P0</t>
        </is>
      </c>
      <c r="H12" s="22" t="inlineStr">
        <is>
          <t>Explain outcomes</t>
        </is>
      </c>
    </row>
    <row r="13">
      <c r="A13" s="22" t="inlineStr">
        <is>
          <t>Packaged feature parity</t>
        </is>
      </c>
      <c r="B13" s="22" t="inlineStr">
        <is>
          <t>Build</t>
        </is>
      </c>
      <c r="C13" s="22" t="n">
        <v>100</v>
      </c>
      <c r="D13" s="22" t="n">
        <v>100</v>
      </c>
      <c r="E13" s="22" t="inlineStr">
        <is>
          <t>%</t>
        </is>
      </c>
      <c r="F13" s="22" t="inlineStr">
        <is>
          <t>Packaged smoke test</t>
        </is>
      </c>
      <c r="G13" s="22" t="inlineStr">
        <is>
          <t>P0</t>
        </is>
      </c>
      <c r="H13" s="22" t="inlineStr">
        <is>
          <t>Definition of Done</t>
        </is>
      </c>
    </row>
  </sheetData>
  <mergeCells count="1">
    <mergeCell ref="A1:H1"/>
  </mergeCells>
  <conditionalFormatting sqref="C4:D13">
    <cfRule type="dataBar" priority="1">
      <dataBar>
        <cfvo type="min"/>
        <cfvo type="max"/>
        <color rgb="FF14B8A6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3" customWidth="1" style="58" min="1" max="1"/>
    <col width="12" customWidth="1" style="58" min="2" max="2"/>
    <col width="22" customWidth="1" style="58" min="3" max="3"/>
    <col width="23" customWidth="1" style="58" min="4" max="4"/>
    <col width="24" customWidth="1" style="58" min="5" max="5"/>
    <col width="19" customWidth="1" style="58" min="6" max="6"/>
    <col width="17" customWidth="1" style="58" min="7" max="7"/>
    <col width="42" customWidth="1" style="58" min="8" max="8"/>
    <col width="22" customWidth="1" style="58" min="9" max="9"/>
    <col width="16" customWidth="1" style="58" min="10" max="10"/>
    <col width="18" customWidth="1" style="58" min="11" max="11"/>
  </cols>
  <sheetData>
    <row r="1" ht="30" customHeight="1" s="58">
      <c r="A1" s="9" t="inlineStr">
        <is>
          <t>Storico versioni e modifiche di bilanciamento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 ht="34" customHeight="1" s="58">
      <c r="A3" s="14" t="inlineStr">
        <is>
          <t>Data</t>
        </is>
      </c>
      <c r="B3" s="14" t="inlineStr">
        <is>
          <t>Versione</t>
        </is>
      </c>
      <c r="C3" s="14" t="inlineStr">
        <is>
          <t>Foglio</t>
        </is>
      </c>
      <c r="D3" s="14" t="inlineStr">
        <is>
          <t>Entity_ID</t>
        </is>
      </c>
      <c r="E3" s="14" t="inlineStr">
        <is>
          <t>Proprietà</t>
        </is>
      </c>
      <c r="F3" s="14" t="inlineStr">
        <is>
          <t>Valore_Precedente</t>
        </is>
      </c>
      <c r="G3" s="14" t="inlineStr">
        <is>
          <t>Valore_Nuovo</t>
        </is>
      </c>
      <c r="H3" s="14" t="inlineStr">
        <is>
          <t>Motivazione</t>
        </is>
      </c>
      <c r="I3" s="14" t="inlineStr">
        <is>
          <t>Fonte_Test</t>
        </is>
      </c>
      <c r="J3" s="14" t="inlineStr">
        <is>
          <t>Autore</t>
        </is>
      </c>
      <c r="K3" s="14" t="inlineStr">
        <is>
          <t>Stato</t>
        </is>
      </c>
    </row>
    <row r="4">
      <c r="A4" s="71" t="n">
        <v>46240</v>
      </c>
      <c r="B4" s="22" t="inlineStr">
        <is>
          <t>0.1.0</t>
        </is>
      </c>
      <c r="C4" s="22" t="inlineStr">
        <is>
          <t>03_Stats_Base</t>
        </is>
      </c>
      <c r="D4" s="22" t="inlineStr">
        <is>
          <t>Steel</t>
        </is>
      </c>
      <c r="E4" s="22" t="inlineStr">
        <is>
          <t>HP</t>
        </is>
      </c>
      <c r="F4" s="22" t="str"/>
      <c r="G4" s="22" t="n">
        <v>1150</v>
      </c>
      <c r="H4" s="22" t="inlineStr">
        <is>
          <t>Baseline guardian vertical slice</t>
        </is>
      </c>
      <c r="I4" s="22" t="inlineStr">
        <is>
          <t>Design review</t>
        </is>
      </c>
      <c r="J4" s="22" t="inlineStr">
        <is>
          <t>Team</t>
        </is>
      </c>
      <c r="K4" s="22" t="inlineStr">
        <is>
          <t>Needs Playtest</t>
        </is>
      </c>
    </row>
    <row r="5">
      <c r="A5" s="71" t="n">
        <v>46240</v>
      </c>
      <c r="B5" s="22" t="inlineStr">
        <is>
          <t>0.1.0</t>
        </is>
      </c>
      <c r="C5" s="22" t="inlineStr">
        <is>
          <t>04_Visione_Stealth</t>
        </is>
      </c>
      <c r="D5" s="22" t="inlineStr">
        <is>
          <t>Murdock</t>
        </is>
      </c>
      <c r="E5" s="22" t="inlineStr">
        <is>
          <t>Sight_Range_Hex</t>
        </is>
      </c>
      <c r="F5" s="22" t="str"/>
      <c r="G5" s="22" t="n">
        <v>11</v>
      </c>
      <c r="H5" s="22" t="inlineStr">
        <is>
          <t>Identità marksman/sentinel</t>
        </is>
      </c>
      <c r="I5" s="22" t="inlineStr">
        <is>
          <t>Design review</t>
        </is>
      </c>
      <c r="J5" s="22" t="inlineStr">
        <is>
          <t>Team</t>
        </is>
      </c>
      <c r="K5" s="22" t="inlineStr">
        <is>
          <t>Needs Playtest</t>
        </is>
      </c>
    </row>
    <row r="6">
      <c r="A6" s="71" t="n">
        <v>46240</v>
      </c>
      <c r="B6" s="22" t="inlineStr">
        <is>
          <t>0.1.0</t>
        </is>
      </c>
      <c r="C6" s="22" t="inlineStr">
        <is>
          <t>09_Hazard_Effetti</t>
        </is>
      </c>
      <c r="D6" s="22" t="inlineStr">
        <is>
          <t>HZ_ELECTRIC</t>
        </is>
      </c>
      <c r="E6" s="22" t="inlineStr">
        <is>
          <t>Propagation_pct</t>
        </is>
      </c>
      <c r="F6" s="22" t="str"/>
      <c r="G6" s="22" t="n">
        <v>45</v>
      </c>
      <c r="H6" s="22" t="inlineStr">
        <is>
          <t>Combo acqua + elettricità</t>
        </is>
      </c>
      <c r="I6" s="22" t="inlineStr">
        <is>
          <t>Design review</t>
        </is>
      </c>
      <c r="J6" s="22" t="inlineStr">
        <is>
          <t>Team</t>
        </is>
      </c>
      <c r="K6" s="22" t="inlineStr">
        <is>
          <t>Needs Playtest</t>
        </is>
      </c>
    </row>
    <row r="7">
      <c r="A7" s="71" t="n">
        <v>46241</v>
      </c>
      <c r="B7" s="71" t="inlineStr">
        <is>
          <t>0.1.1</t>
        </is>
      </c>
      <c r="C7" s="71" t="inlineStr">
        <is>
          <t>08_Terreni</t>
        </is>
      </c>
      <c r="D7" s="71" t="inlineStr">
        <is>
          <t>tutti</t>
        </is>
      </c>
      <c r="E7" s="71" t="inlineStr">
        <is>
          <t>Sight_Mod / Detection_Mod / Identification_Mod / Max_Contact_Range / Vision_Domain</t>
        </is>
      </c>
      <c r="F7" s="71" t="inlineStr">
        <is>
          <t>assente</t>
        </is>
      </c>
      <c r="G7" s="71" t="inlineStr">
        <is>
          <t>derivati da Height / Occultamento / Opacità</t>
        </is>
      </c>
      <c r="H7" s="71" t="inlineStr">
        <is>
          <t>La nota «Visione +1» di TERRAIN_HIGH era testo libero, non un valore assegnabile</t>
        </is>
      </c>
      <c r="I7" s="71" t="inlineStr">
        <is>
          <t>Brainstorming visione</t>
        </is>
      </c>
      <c r="J7" s="71" t="inlineStr">
        <is>
          <t>Team</t>
        </is>
      </c>
      <c r="K7" s="71" t="inlineStr">
        <is>
          <t>Draft</t>
        </is>
      </c>
    </row>
    <row r="8">
      <c r="A8" s="71" t="n">
        <v>46241</v>
      </c>
      <c r="B8" s="71" t="inlineStr">
        <is>
          <t>0.1.1</t>
        </is>
      </c>
      <c r="C8" s="71" t="inlineStr">
        <is>
          <t>08_Terreni</t>
        </is>
      </c>
      <c r="D8" s="71" t="inlineStr">
        <is>
          <t>TERRAIN_SMOKE</t>
        </is>
      </c>
      <c r="E8" s="71" t="inlineStr">
        <is>
          <t>Max_Contact_Range</t>
        </is>
      </c>
      <c r="F8" s="71" t="inlineStr">
        <is>
          <t>assente</t>
        </is>
      </c>
      <c r="G8" s="71" t="n">
        <v>2</v>
      </c>
      <c r="H8" s="71" t="inlineStr">
        <is>
          <t>Combacia con lo stato Obscured del catalogo terreni del repo (cap targeting 2)</t>
        </is>
      </c>
      <c r="I8" s="71" t="inlineStr">
        <is>
          <t>Brainstorming visione</t>
        </is>
      </c>
      <c r="J8" s="71" t="inlineStr">
        <is>
          <t>Team</t>
        </is>
      </c>
      <c r="K8" s="71" t="inlineStr">
        <is>
          <t>Draft</t>
        </is>
      </c>
    </row>
    <row r="9">
      <c r="A9" s="71" t="n">
        <v>46241</v>
      </c>
      <c r="B9" s="71" t="inlineStr">
        <is>
          <t>0.1.1</t>
        </is>
      </c>
      <c r="C9" s="71" t="inlineStr">
        <is>
          <t>11_Cover_LOS</t>
        </is>
      </c>
      <c r="D9" s="71" t="inlineStr">
        <is>
          <t>tutti</t>
        </is>
      </c>
      <c r="E9" s="71" t="inlineStr">
        <is>
          <t>Detection_Mod / Identification_Mod / Blocks_Identification</t>
        </is>
      </c>
      <c r="F9" s="71" t="inlineStr">
        <is>
          <t>assente</t>
        </is>
      </c>
      <c r="G9" s="71" t="inlineStr">
        <is>
          <t>-5 x Concealment / -8 x Opacity</t>
        </is>
      </c>
      <c r="H9" s="71" t="inlineStr">
        <is>
          <t>Copertura e occultamento erano separati come concetti ma non come numeri</t>
        </is>
      </c>
      <c r="I9" s="71" t="inlineStr">
        <is>
          <t>Brainstorming visione</t>
        </is>
      </c>
      <c r="J9" s="71" t="inlineStr">
        <is>
          <t>Team</t>
        </is>
      </c>
      <c r="K9" s="71" t="inlineStr">
        <is>
          <t>Draft</t>
        </is>
      </c>
    </row>
    <row r="10">
      <c r="A10" s="71" t="n">
        <v>46241</v>
      </c>
      <c r="B10" s="71" t="inlineStr">
        <is>
          <t>0.1.1</t>
        </is>
      </c>
      <c r="C10" s="71" t="inlineStr">
        <is>
          <t>09_Hazard_Effetti</t>
        </is>
      </c>
      <c r="D10" s="71" t="inlineStr">
        <is>
          <t>tutti</t>
        </is>
      </c>
      <c r="E10" s="71" t="inlineStr">
        <is>
          <t>Sight_Mod / Detection_Mod / Identification_Mod / Max_Contact_Range</t>
        </is>
      </c>
      <c r="F10" s="71" t="inlineStr">
        <is>
          <t>assente</t>
        </is>
      </c>
      <c r="G10" s="71" t="inlineStr">
        <is>
          <t>da Opacity e Reveal_Bonus</t>
        </is>
      </c>
      <c r="H10" s="71" t="inlineStr">
        <is>
          <t>HZ_FIRE forzato a +15: il terreno gemello ha Occultamento -3 (incoerenza da sanare)</t>
        </is>
      </c>
      <c r="I10" s="71" t="inlineStr">
        <is>
          <t>Brainstorming visione</t>
        </is>
      </c>
      <c r="J10" s="71" t="inlineStr">
        <is>
          <t>Team</t>
        </is>
      </c>
      <c r="K10" s="71" t="inlineStr">
        <is>
          <t>Draft</t>
        </is>
      </c>
    </row>
    <row r="11">
      <c r="A11" s="71" t="n">
        <v>46241</v>
      </c>
      <c r="B11" s="71" t="inlineStr">
        <is>
          <t>0.1.1</t>
        </is>
      </c>
      <c r="C11" s="71" t="inlineStr">
        <is>
          <t>14_Status_Effects</t>
        </is>
      </c>
      <c r="D11" s="71" t="inlineStr">
        <is>
          <t>tutti</t>
        </is>
      </c>
      <c r="E11" s="71" t="inlineStr">
        <is>
          <t>Sight_Mod / Detection_Mod / Identification_Mod / Firma_Mod</t>
        </is>
      </c>
      <c r="F11" s="71" t="inlineStr">
        <is>
          <t>testo libero</t>
        </is>
      </c>
      <c r="G11" s="71" t="inlineStr">
        <is>
          <t>valori interi</t>
        </is>
      </c>
      <c r="H11" s="71" t="inlineStr">
        <is>
          <t>«Identification -30» e «Stealth +4» erano descrizioni, non dati</t>
        </is>
      </c>
      <c r="I11" s="71" t="inlineStr">
        <is>
          <t>Brainstorming visione</t>
        </is>
      </c>
      <c r="J11" s="71" t="inlineStr">
        <is>
          <t>Team</t>
        </is>
      </c>
      <c r="K11" s="71" t="inlineStr">
        <is>
          <t>Draft</t>
        </is>
      </c>
    </row>
    <row r="12">
      <c r="A12" s="71" t="n">
        <v>46241</v>
      </c>
      <c r="B12" s="71" t="inlineStr">
        <is>
          <t>0.1.1</t>
        </is>
      </c>
      <c r="C12" s="71" t="inlineStr">
        <is>
          <t>04_Visione_Stealth</t>
        </is>
      </c>
      <c r="D12" s="71" t="inlineStr">
        <is>
          <t>tutti</t>
        </is>
      </c>
      <c r="E12" s="71" t="inlineStr">
        <is>
          <t>Firma_Base</t>
        </is>
      </c>
      <c r="F12" s="71" t="inlineStr">
        <is>
          <t>assente</t>
        </is>
      </c>
      <c r="G12" s="71" t="inlineStr">
        <is>
          <t>10 - Stealth_1_10</t>
        </is>
      </c>
      <c r="H12" s="71" t="inlineStr">
        <is>
          <t>La formula della firma partiva da una base che non esisteva in tabella</t>
        </is>
      </c>
      <c r="I12" s="71" t="inlineStr">
        <is>
          <t>Brainstorming visione</t>
        </is>
      </c>
      <c r="J12" s="71" t="inlineStr">
        <is>
          <t>Team</t>
        </is>
      </c>
      <c r="K12" s="71" t="inlineStr">
        <is>
          <t>Draft</t>
        </is>
      </c>
    </row>
    <row r="13">
      <c r="A13" s="71" t="n">
        <v>46241</v>
      </c>
      <c r="B13" s="71" t="inlineStr">
        <is>
          <t>0.1.1</t>
        </is>
      </c>
      <c r="C13" s="71" t="inlineStr">
        <is>
          <t>04_Visione_Stealth</t>
        </is>
      </c>
      <c r="D13" s="71" t="inlineStr">
        <is>
          <t>tutti</t>
        </is>
      </c>
      <c r="E13" s="71" t="inlineStr">
        <is>
          <t>Contact_Persist_Turni</t>
        </is>
      </c>
      <c r="F13" s="71" t="inlineStr">
        <is>
          <t>assente</t>
        </is>
      </c>
      <c r="G13" s="71" t="n">
        <v>1</v>
      </c>
      <c r="H13" s="71" t="inlineStr">
        <is>
          <t>Persistenza dell'ultimo contatto nello slice (decisione D3)</t>
        </is>
      </c>
      <c r="I13" s="71" t="inlineStr">
        <is>
          <t>Brainstorming visione</t>
        </is>
      </c>
      <c r="J13" s="71" t="inlineStr">
        <is>
          <t>Team</t>
        </is>
      </c>
      <c r="K13" s="71" t="inlineStr">
        <is>
          <t>Draft</t>
        </is>
      </c>
    </row>
    <row r="14">
      <c r="A14" s="71" t="n">
        <v>46241</v>
      </c>
      <c r="B14" s="71" t="inlineStr">
        <is>
          <t>0.1.1</t>
        </is>
      </c>
      <c r="C14" s="71" t="inlineStr">
        <is>
          <t>06_Abilita_VS</t>
        </is>
      </c>
      <c r="D14" s="71" t="inlineStr">
        <is>
          <t>tutte</t>
        </is>
      </c>
      <c r="E14" s="71" t="inlineStr">
        <is>
          <t>Requires_Contact / Reveals_Self / Firma_Mod / Vision_Effect</t>
        </is>
      </c>
      <c r="F14" s="71" t="inlineStr">
        <is>
          <t>assente</t>
        </is>
      </c>
      <c r="G14" s="71" t="inlineStr">
        <is>
          <t>assegnati per categoria</t>
        </is>
      </c>
      <c r="H14" s="71" t="inlineStr">
        <is>
          <t>Loss_Contact_Policy esisteva senza dire quale contatto servisse per bersagliare</t>
        </is>
      </c>
      <c r="I14" s="71" t="inlineStr">
        <is>
          <t>Brainstorming visione</t>
        </is>
      </c>
      <c r="J14" s="71" t="inlineStr">
        <is>
          <t>Team</t>
        </is>
      </c>
      <c r="K14" s="71" t="inlineStr">
        <is>
          <t>Draft</t>
        </is>
      </c>
    </row>
    <row r="15">
      <c r="A15" s="71" t="n">
        <v>46241</v>
      </c>
      <c r="B15" s="71" t="inlineStr">
        <is>
          <t>0.1.1</t>
        </is>
      </c>
      <c r="C15" s="71" t="inlineStr">
        <is>
          <t>15_Azioni_Turni</t>
        </is>
      </c>
      <c r="D15" s="71" t="inlineStr">
        <is>
          <t>tutte</t>
        </is>
      </c>
      <c r="E15" s="71" t="inlineStr">
        <is>
          <t>Requires_Contact / Firma_Mod</t>
        </is>
      </c>
      <c r="F15" s="71" t="inlineStr">
        <is>
          <t>assente</t>
        </is>
      </c>
      <c r="G15" s="71" t="inlineStr">
        <is>
          <t>assegnati per azione</t>
        </is>
      </c>
      <c r="H15" s="71" t="inlineStr">
        <is>
          <t>ACT_WAIT a -5: l'immobilità riduce la firma</t>
        </is>
      </c>
      <c r="I15" s="71" t="inlineStr">
        <is>
          <t>Brainstorming visione</t>
        </is>
      </c>
      <c r="J15" s="71" t="inlineStr">
        <is>
          <t>Team</t>
        </is>
      </c>
      <c r="K15" s="71" t="inlineStr">
        <is>
          <t>Draft</t>
        </is>
      </c>
    </row>
    <row r="16">
      <c r="A16" s="71" t="n">
        <v>46241</v>
      </c>
      <c r="B16" s="71" t="inlineStr">
        <is>
          <t>0.1.1</t>
        </is>
      </c>
      <c r="C16" s="71" t="inlineStr">
        <is>
          <t>19_AI_Scoring</t>
        </is>
      </c>
      <c r="D16" s="71" t="inlineStr">
        <is>
          <t>—</t>
        </is>
      </c>
      <c r="E16" s="71" t="inlineStr">
        <is>
          <t>LastKnownContactValue / ContactDenialValue</t>
        </is>
      </c>
      <c r="F16" s="71" t="inlineStr">
        <is>
          <t>assente</t>
        </is>
      </c>
      <c r="G16" s="71" t="inlineStr">
        <is>
          <t>pesi per ruolo</t>
        </is>
      </c>
      <c r="H16" s="71" t="inlineStr">
        <is>
          <t>Il bot pesava VisionGain ma non il valore dell'ultimo contatto né la negazione d'informazione</t>
        </is>
      </c>
      <c r="I16" s="71" t="inlineStr">
        <is>
          <t>Brainstorming visione</t>
        </is>
      </c>
      <c r="J16" s="71" t="inlineStr">
        <is>
          <t>Team</t>
        </is>
      </c>
      <c r="K16" s="71" t="inlineStr">
        <is>
          <t>Draft</t>
        </is>
      </c>
    </row>
    <row r="17">
      <c r="A17" s="71" t="n">
        <v>46241</v>
      </c>
      <c r="B17" s="71" t="inlineStr">
        <is>
          <t>0.1.1</t>
        </is>
      </c>
      <c r="C17" s="71" t="inlineStr">
        <is>
          <t>04b_Visione_Parametri</t>
        </is>
      </c>
      <c r="D17" s="71" t="inlineStr">
        <is>
          <t>—</t>
        </is>
      </c>
      <c r="E17" s="71" t="inlineStr">
        <is>
          <t>foglio nuovo</t>
        </is>
      </c>
      <c r="F17" s="71" t="inlineStr">
        <is>
          <t>assente</t>
        </is>
      </c>
      <c r="G17" s="71" t="inlineStr">
        <is>
          <t>22 parametri</t>
        </is>
      </c>
      <c r="H17" s="71" t="inlineStr">
        <is>
          <t>Soglie e pesi non erano attributi di nessuna entità: senza un posto dove stare non erano assegnabili</t>
        </is>
      </c>
      <c r="I17" s="71" t="inlineStr">
        <is>
          <t>Brainstorming visione</t>
        </is>
      </c>
      <c r="J17" s="71" t="inlineStr">
        <is>
          <t>Team</t>
        </is>
      </c>
      <c r="K17" s="71" t="inlineStr">
        <is>
          <t>Draft</t>
        </is>
      </c>
    </row>
    <row r="18">
      <c r="A18" s="71" t="n">
        <v>46241</v>
      </c>
      <c r="B18" s="71" t="inlineStr">
        <is>
          <t>0.1.2</t>
        </is>
      </c>
      <c r="C18" s="71" t="inlineStr">
        <is>
          <t>02_Roster</t>
        </is>
      </c>
      <c r="D18" s="71" t="inlineStr">
        <is>
          <t>Flux/Riva/Bastion/Vektor</t>
        </is>
      </c>
      <c r="E18" s="71" t="inlineStr">
        <is>
          <t>Vertical_Slice</t>
        </is>
      </c>
      <c r="F18" s="71" t="inlineStr">
        <is>
          <t>Aurora/Kwang/Murdock/Steel</t>
        </is>
      </c>
      <c r="G18" s="71" t="inlineStr">
        <is>
          <t>Flux/Riva/Bastion/Vektor</t>
        </is>
      </c>
      <c r="H18" s="71" t="inlineStr">
        <is>
          <t>Il vertical slice torna quello dei cataloghi .md; i 4 Paragon restano Candidate</t>
        </is>
      </c>
      <c r="I18" s="71" t="inlineStr">
        <is>
          <t>Consolidamento canone</t>
        </is>
      </c>
      <c r="J18" s="71" t="inlineStr">
        <is>
          <t>Team</t>
        </is>
      </c>
      <c r="K18" s="71" t="inlineStr">
        <is>
          <t>Draft</t>
        </is>
      </c>
    </row>
    <row r="19">
      <c r="A19" s="71" t="n">
        <v>46241</v>
      </c>
      <c r="B19" s="71" t="inlineStr">
        <is>
          <t>0.1.2</t>
        </is>
      </c>
      <c r="C19" s="71" t="inlineStr">
        <is>
          <t>03_Stats_Base</t>
        </is>
      </c>
      <c r="D19" s="71" t="inlineStr">
        <is>
          <t>4 eroi VS</t>
        </is>
      </c>
      <c r="E19" s="71" t="inlineStr">
        <is>
          <t>HP / Movimento_Base</t>
        </is>
      </c>
      <c r="F19" s="71" t="inlineStr">
        <is>
          <t>780-1150 / 6 hex</t>
        </is>
      </c>
      <c r="G19" s="71" t="inlineStr">
        <is>
          <t>90-120 / 4-6 MP</t>
        </is>
      </c>
      <c r="H19" s="71" t="inlineStr">
        <is>
          <t>Scala del catalogo .md: i valori piu' bassi fra le due fonti</t>
        </is>
      </c>
      <c r="I19" s="71" t="inlineStr">
        <is>
          <t>Consolidamento canone</t>
        </is>
      </c>
      <c r="J19" s="71" t="inlineStr">
        <is>
          <t>Team</t>
        </is>
      </c>
      <c r="K19" s="71" t="inlineStr">
        <is>
          <t>Draft</t>
        </is>
      </c>
    </row>
    <row r="20">
      <c r="A20" s="71" t="n">
        <v>46241</v>
      </c>
      <c r="B20" s="71" t="inlineStr">
        <is>
          <t>0.1.2</t>
        </is>
      </c>
      <c r="C20" s="71" t="inlineStr">
        <is>
          <t>04_Visione_Stealth</t>
        </is>
      </c>
      <c r="D20" s="71" t="inlineStr">
        <is>
          <t>4 eroi VS</t>
        </is>
      </c>
      <c r="E20" s="71" t="inlineStr">
        <is>
          <t>Sight_Range_Hex</t>
        </is>
      </c>
      <c r="F20" s="71" t="inlineStr">
        <is>
          <t>6-11</t>
        </is>
      </c>
      <c r="G20" s="71" t="inlineStr">
        <is>
          <t>5-6</t>
        </is>
      </c>
      <c r="H20" s="71" t="inlineStr">
        <is>
          <t>Vista dal catalogo .md; Detection/Identification/Stealth al minimo di colonna (48/45/2)</t>
        </is>
      </c>
      <c r="I20" s="71" t="inlineStr">
        <is>
          <t>Consolidamento canone</t>
        </is>
      </c>
      <c r="J20" s="71" t="inlineStr">
        <is>
          <t>Team</t>
        </is>
      </c>
      <c r="K20" s="71" t="inlineStr">
        <is>
          <t>Draft</t>
        </is>
      </c>
    </row>
    <row r="21">
      <c r="A21" s="71" t="n">
        <v>46241</v>
      </c>
      <c r="B21" s="71" t="inlineStr">
        <is>
          <t>0.1.2</t>
        </is>
      </c>
      <c r="C21" s="71" t="inlineStr">
        <is>
          <t>06_Abilita_VS</t>
        </is>
      </c>
      <c r="D21" s="71" t="inlineStr">
        <is>
          <t>16 -&gt; 15 abilita'</t>
        </is>
      </c>
      <c r="E21" s="71" t="inlineStr">
        <is>
          <t>tutte</t>
        </is>
      </c>
      <c r="F21" s="71" t="inlineStr">
        <is>
          <t>abilita' Paragon</t>
        </is>
      </c>
      <c r="G21" s="71" t="inlineStr">
        <is>
          <t>abilita' di catalogo</t>
        </is>
      </c>
      <c r="H21" s="71" t="inlineStr">
        <is>
          <t>Vektor ha 3 abilita' + 2 reazioni: e' il catalogo, non una dimenticanza</t>
        </is>
      </c>
      <c r="I21" s="71" t="inlineStr">
        <is>
          <t>Consolidamento canone</t>
        </is>
      </c>
      <c r="J21" s="71" t="inlineStr">
        <is>
          <t>Team</t>
        </is>
      </c>
      <c r="K21" s="71" t="inlineStr">
        <is>
          <t>Draft</t>
        </is>
      </c>
    </row>
    <row r="22">
      <c r="A22" s="71" t="n">
        <v>46241</v>
      </c>
      <c r="B22" s="71" t="inlineStr">
        <is>
          <t>0.1.2</t>
        </is>
      </c>
      <c r="C22" s="71" t="inlineStr">
        <is>
          <t>07_Fast_Reactions</t>
        </is>
      </c>
      <c r="D22" s="71" t="inlineStr">
        <is>
          <t>tutte</t>
        </is>
      </c>
      <c r="E22" s="71" t="inlineStr">
        <is>
          <t>Finestra_sec -&gt; Presentazione_sec</t>
        </is>
      </c>
      <c r="F22" s="71" t="inlineStr">
        <is>
          <t>6 sec interattivi</t>
        </is>
      </c>
      <c r="G22" s="71" t="inlineStr">
        <is>
          <t>2 sec di animazione</t>
        </is>
      </c>
      <c r="H22" s="71" t="inlineStr">
        <is>
          <t>La finestra e' presentazione: entrambe le opzioni e le condizioni si dichiarano in planning</t>
        </is>
      </c>
      <c r="I22" s="71" t="inlineStr">
        <is>
          <t>Consolidamento canone</t>
        </is>
      </c>
      <c r="J22" s="71" t="inlineStr">
        <is>
          <t>Team</t>
        </is>
      </c>
      <c r="K22" s="71" t="inlineStr">
        <is>
          <t>Draft</t>
        </is>
      </c>
    </row>
    <row r="23">
      <c r="A23" s="71" t="n">
        <v>46241</v>
      </c>
      <c r="B23" s="71" t="inlineStr">
        <is>
          <t>0.1.2</t>
        </is>
      </c>
      <c r="C23" s="71" t="inlineStr">
        <is>
          <t>07_Fast_Reactions</t>
        </is>
      </c>
      <c r="D23" s="71" t="inlineStr">
        <is>
          <t>tutte</t>
        </is>
      </c>
      <c r="E23" s="71" t="inlineStr">
        <is>
          <t>Condizione_Dichiarata / Ordine_Valutazione</t>
        </is>
      </c>
      <c r="F23" s="71" t="inlineStr">
        <is>
          <t>assente</t>
        </is>
      </c>
      <c r="G23" s="71" t="inlineStr">
        <is>
          <t>per reazione</t>
        </is>
      </c>
      <c r="H23" s="71" t="inlineStr">
        <is>
          <t>Il resolver valuta le condizioni sullo snapshot di fase: nessuna attesa (invariante #3)</t>
        </is>
      </c>
      <c r="I23" s="71" t="inlineStr">
        <is>
          <t>Consolidamento canone</t>
        </is>
      </c>
      <c r="J23" s="71" t="inlineStr">
        <is>
          <t>Team</t>
        </is>
      </c>
      <c r="K23" s="71" t="inlineStr">
        <is>
          <t>Draft</t>
        </is>
      </c>
    </row>
    <row r="24">
      <c r="A24" s="71" t="n">
        <v>46241</v>
      </c>
      <c r="B24" s="71" t="inlineStr">
        <is>
          <t>0.1.2</t>
        </is>
      </c>
      <c r="C24" s="71" t="inlineStr">
        <is>
          <t>18_Risorse</t>
        </is>
      </c>
      <c r="D24" s="71" t="inlineStr">
        <is>
          <t>RES_ACTION</t>
        </is>
      </c>
      <c r="E24" s="71" t="inlineStr">
        <is>
          <t>modello</t>
        </is>
      </c>
      <c r="F24" s="71" t="inlineStr">
        <is>
          <t>Action Points</t>
        </is>
      </c>
      <c r="G24" s="71" t="inlineStr">
        <is>
          <t>AP = slot Movimento + Principale</t>
        </is>
      </c>
      <c r="H24" s="71" t="inlineStr">
        <is>
          <t>AP cap 2 e slot del catalogo .md sono lo stesso sistema con due nomi</t>
        </is>
      </c>
      <c r="I24" s="71" t="inlineStr">
        <is>
          <t>Consolidamento canone</t>
        </is>
      </c>
      <c r="J24" s="71" t="inlineStr">
        <is>
          <t>Team</t>
        </is>
      </c>
      <c r="K24" s="71" t="inlineStr">
        <is>
          <t>Draft</t>
        </is>
      </c>
    </row>
    <row r="25">
      <c r="A25" s="71" t="n">
        <v>46241</v>
      </c>
      <c r="B25" s="71" t="inlineStr">
        <is>
          <t>0.1.2</t>
        </is>
      </c>
      <c r="C25" s="71" t="inlineStr">
        <is>
          <t>18_Risorse</t>
        </is>
      </c>
      <c r="D25" s="71" t="inlineStr">
        <is>
          <t>risorse firma</t>
        </is>
      </c>
      <c r="E25" s="71" t="inlineStr">
        <is>
          <t>Nome / Cap</t>
        </is>
      </c>
      <c r="F25" s="71" t="inlineStr">
        <is>
          <t>per eroe Paragon, cap 4-100</t>
        </is>
      </c>
      <c r="G25" s="71" t="inlineStr">
        <is>
          <t>per eroe di catalogo, cap 4</t>
        </is>
      </c>
      <c r="H25" s="71" t="inlineStr">
        <is>
          <t>Energia e risorsa firma sono sinonimi: nome e trigger cambiano per personaggio, la regola no</t>
        </is>
      </c>
      <c r="I25" s="71" t="inlineStr">
        <is>
          <t>Consolidamento canone</t>
        </is>
      </c>
      <c r="J25" s="71" t="inlineStr">
        <is>
          <t>Team</t>
        </is>
      </c>
      <c r="K25" s="71" t="inlineStr">
        <is>
          <t>Draft</t>
        </is>
      </c>
    </row>
    <row r="26">
      <c r="A26" s="72" t="n"/>
    </row>
    <row r="27">
      <c r="A27" s="72" t="n"/>
    </row>
    <row r="28">
      <c r="A28" s="72" t="n"/>
    </row>
    <row r="29">
      <c r="A29" s="72" t="n"/>
    </row>
    <row r="30">
      <c r="A30" s="72" t="n"/>
    </row>
    <row r="31">
      <c r="A31" s="72" t="n"/>
    </row>
    <row r="32">
      <c r="A32" s="72" t="n"/>
    </row>
    <row r="33">
      <c r="A33" s="72" t="n"/>
    </row>
    <row r="34">
      <c r="A34" s="72" t="n"/>
    </row>
    <row r="35">
      <c r="A35" s="72" t="n"/>
    </row>
    <row r="36">
      <c r="A36" s="72" t="n"/>
    </row>
    <row r="37">
      <c r="A37" s="72" t="n"/>
    </row>
    <row r="38">
      <c r="A38" s="72" t="n"/>
    </row>
    <row r="39">
      <c r="A39" s="72" t="n"/>
    </row>
    <row r="40">
      <c r="A40" s="72" t="n"/>
    </row>
    <row r="41">
      <c r="A41" s="72" t="n"/>
    </row>
    <row r="42">
      <c r="A42" s="72" t="n"/>
    </row>
    <row r="43">
      <c r="A43" s="72" t="n"/>
    </row>
    <row r="44">
      <c r="A44" s="72" t="n"/>
    </row>
    <row r="45">
      <c r="A45" s="72" t="n"/>
    </row>
    <row r="46">
      <c r="A46" s="72" t="n"/>
    </row>
    <row r="47">
      <c r="A47" s="72" t="n"/>
    </row>
    <row r="48">
      <c r="A48" s="72" t="n"/>
    </row>
    <row r="49">
      <c r="A49" s="72" t="n"/>
    </row>
    <row r="50">
      <c r="A50" s="72" t="n"/>
    </row>
    <row r="51">
      <c r="A51" s="72" t="n"/>
    </row>
    <row r="52">
      <c r="A52" s="72" t="n"/>
    </row>
    <row r="53">
      <c r="A53" s="72" t="n"/>
    </row>
    <row r="54">
      <c r="A54" s="72" t="n"/>
    </row>
    <row r="55">
      <c r="A55" s="72" t="n"/>
    </row>
    <row r="56">
      <c r="A56" s="72" t="n"/>
    </row>
    <row r="57">
      <c r="A57" s="72" t="n"/>
    </row>
    <row r="58">
      <c r="A58" s="72" t="n"/>
    </row>
    <row r="59">
      <c r="A59" s="72" t="n"/>
    </row>
    <row r="60">
      <c r="A60" s="72" t="n"/>
    </row>
    <row r="61">
      <c r="A61" s="72" t="n"/>
    </row>
    <row r="62">
      <c r="A62" s="72" t="n"/>
    </row>
    <row r="63">
      <c r="A63" s="72" t="n"/>
    </row>
    <row r="64">
      <c r="A64" s="72" t="n"/>
    </row>
    <row r="65">
      <c r="A65" s="72" t="n"/>
    </row>
    <row r="66">
      <c r="A66" s="72" t="n"/>
    </row>
    <row r="67">
      <c r="A67" s="72" t="n"/>
    </row>
    <row r="68">
      <c r="A68" s="72" t="n"/>
    </row>
    <row r="69">
      <c r="A69" s="72" t="n"/>
    </row>
    <row r="70">
      <c r="A70" s="72" t="n"/>
    </row>
    <row r="71">
      <c r="A71" s="72" t="n"/>
    </row>
    <row r="72">
      <c r="A72" s="72" t="n"/>
    </row>
    <row r="73">
      <c r="A73" s="72" t="n"/>
    </row>
    <row r="74">
      <c r="A74" s="72" t="n"/>
    </row>
    <row r="75">
      <c r="A75" s="72" t="n"/>
    </row>
    <row r="76">
      <c r="A76" s="72" t="n"/>
    </row>
    <row r="77">
      <c r="A77" s="72" t="n"/>
    </row>
    <row r="78">
      <c r="A78" s="72" t="n"/>
    </row>
    <row r="79">
      <c r="A79" s="72" t="n"/>
    </row>
    <row r="80">
      <c r="A80" s="72" t="n"/>
    </row>
    <row r="81">
      <c r="A81" s="72" t="n"/>
    </row>
    <row r="82">
      <c r="A82" s="72" t="n"/>
    </row>
    <row r="83">
      <c r="A83" s="72" t="n"/>
    </row>
    <row r="84">
      <c r="A84" s="72" t="n"/>
    </row>
    <row r="85">
      <c r="A85" s="72" t="n"/>
    </row>
    <row r="86">
      <c r="A86" s="72" t="n"/>
    </row>
    <row r="87">
      <c r="A87" s="72" t="n"/>
    </row>
    <row r="88">
      <c r="A88" s="72" t="n"/>
    </row>
    <row r="89">
      <c r="A89" s="72" t="n"/>
    </row>
    <row r="90">
      <c r="A90" s="72" t="n"/>
    </row>
    <row r="91">
      <c r="A91" s="72" t="n"/>
    </row>
    <row r="92">
      <c r="A92" s="72" t="n"/>
    </row>
    <row r="93">
      <c r="A93" s="72" t="n"/>
    </row>
    <row r="94">
      <c r="A94" s="72" t="n"/>
    </row>
    <row r="95">
      <c r="A95" s="72" t="n"/>
    </row>
    <row r="96">
      <c r="A96" s="72" t="n"/>
    </row>
    <row r="97">
      <c r="A97" s="72" t="n"/>
    </row>
    <row r="98">
      <c r="A98" s="72" t="n"/>
    </row>
    <row r="99">
      <c r="A99" s="72" t="n"/>
    </row>
    <row r="100">
      <c r="A100" s="72" t="n"/>
    </row>
    <row r="101">
      <c r="A101" s="72" t="n"/>
    </row>
    <row r="102">
      <c r="A102" s="72" t="n"/>
    </row>
    <row r="103">
      <c r="A103" s="72" t="n"/>
    </row>
    <row r="104">
      <c r="A104" s="72" t="n"/>
    </row>
    <row r="105">
      <c r="A105" s="72" t="n"/>
    </row>
    <row r="106">
      <c r="A106" s="72" t="n"/>
    </row>
    <row r="107">
      <c r="A107" s="72" t="n"/>
    </row>
    <row r="108">
      <c r="A108" s="72" t="n"/>
    </row>
    <row r="109">
      <c r="A109" s="72" t="n"/>
    </row>
    <row r="110">
      <c r="A110" s="72" t="n"/>
    </row>
    <row r="111">
      <c r="A111" s="72" t="n"/>
    </row>
    <row r="112">
      <c r="A112" s="72" t="n"/>
    </row>
    <row r="113">
      <c r="A113" s="72" t="n"/>
    </row>
    <row r="114">
      <c r="A114" s="72" t="n"/>
    </row>
    <row r="115">
      <c r="A115" s="72" t="n"/>
    </row>
    <row r="116">
      <c r="A116" s="72" t="n"/>
    </row>
    <row r="117">
      <c r="A117" s="72" t="n"/>
    </row>
    <row r="118">
      <c r="A118" s="72" t="n"/>
    </row>
    <row r="119">
      <c r="A119" s="72" t="n"/>
    </row>
    <row r="120">
      <c r="A120" s="72" t="n"/>
    </row>
    <row r="121">
      <c r="A121" s="72" t="n"/>
    </row>
    <row r="122">
      <c r="A122" s="72" t="n"/>
    </row>
    <row r="123">
      <c r="A123" s="72" t="n"/>
    </row>
    <row r="124">
      <c r="A124" s="72" t="n"/>
    </row>
    <row r="125">
      <c r="A125" s="72" t="n"/>
    </row>
    <row r="126">
      <c r="A126" s="72" t="n"/>
    </row>
    <row r="127">
      <c r="A127" s="72" t="n"/>
    </row>
    <row r="128">
      <c r="A128" s="72" t="n"/>
    </row>
    <row r="129">
      <c r="A129" s="72" t="n"/>
    </row>
    <row r="130">
      <c r="A130" s="72" t="n"/>
    </row>
    <row r="131">
      <c r="A131" s="72" t="n"/>
    </row>
    <row r="132">
      <c r="A132" s="72" t="n"/>
    </row>
    <row r="133">
      <c r="A133" s="72" t="n"/>
    </row>
    <row r="134">
      <c r="A134" s="72" t="n"/>
    </row>
    <row r="135">
      <c r="A135" s="72" t="n"/>
    </row>
    <row r="136">
      <c r="A136" s="72" t="n"/>
    </row>
    <row r="137">
      <c r="A137" s="72" t="n"/>
    </row>
    <row r="138">
      <c r="A138" s="72" t="n"/>
    </row>
    <row r="139">
      <c r="A139" s="72" t="n"/>
    </row>
    <row r="140">
      <c r="A140" s="72" t="n"/>
    </row>
    <row r="141">
      <c r="A141" s="72" t="n"/>
    </row>
    <row r="142">
      <c r="A142" s="72" t="n"/>
    </row>
    <row r="143">
      <c r="A143" s="72" t="n"/>
    </row>
    <row r="144">
      <c r="A144" s="72" t="n"/>
    </row>
    <row r="145">
      <c r="A145" s="72" t="n"/>
    </row>
    <row r="146">
      <c r="A146" s="72" t="n"/>
    </row>
    <row r="147">
      <c r="A147" s="72" t="n"/>
    </row>
    <row r="148">
      <c r="A148" s="72" t="n"/>
    </row>
    <row r="149">
      <c r="A149" s="72" t="n"/>
    </row>
    <row r="150">
      <c r="A150" s="72" t="n"/>
    </row>
    <row r="151">
      <c r="A151" s="72" t="n"/>
    </row>
    <row r="152">
      <c r="A152" s="72" t="n"/>
    </row>
    <row r="153">
      <c r="A153" s="72" t="n"/>
    </row>
    <row r="154">
      <c r="A154" s="72" t="n"/>
    </row>
    <row r="155">
      <c r="A155" s="72" t="n"/>
    </row>
    <row r="156">
      <c r="A156" s="72" t="n"/>
    </row>
    <row r="157">
      <c r="A157" s="72" t="n"/>
    </row>
    <row r="158">
      <c r="A158" s="72" t="n"/>
    </row>
    <row r="159">
      <c r="A159" s="72" t="n"/>
    </row>
    <row r="160">
      <c r="A160" s="72" t="n"/>
    </row>
    <row r="161">
      <c r="A161" s="72" t="n"/>
    </row>
    <row r="162">
      <c r="A162" s="72" t="n"/>
    </row>
    <row r="163">
      <c r="A163" s="72" t="n"/>
    </row>
    <row r="164">
      <c r="A164" s="72" t="n"/>
    </row>
    <row r="165">
      <c r="A165" s="72" t="n"/>
    </row>
    <row r="166">
      <c r="A166" s="72" t="n"/>
    </row>
    <row r="167">
      <c r="A167" s="72" t="n"/>
    </row>
    <row r="168">
      <c r="A168" s="72" t="n"/>
    </row>
    <row r="169">
      <c r="A169" s="72" t="n"/>
    </row>
    <row r="170">
      <c r="A170" s="72" t="n"/>
    </row>
    <row r="171">
      <c r="A171" s="72" t="n"/>
    </row>
    <row r="172">
      <c r="A172" s="72" t="n"/>
    </row>
    <row r="173">
      <c r="A173" s="72" t="n"/>
    </row>
    <row r="174">
      <c r="A174" s="72" t="n"/>
    </row>
    <row r="175">
      <c r="A175" s="72" t="n"/>
    </row>
    <row r="176">
      <c r="A176" s="72" t="n"/>
    </row>
    <row r="177">
      <c r="A177" s="72" t="n"/>
    </row>
    <row r="178">
      <c r="A178" s="72" t="n"/>
    </row>
    <row r="179">
      <c r="A179" s="72" t="n"/>
    </row>
    <row r="180">
      <c r="A180" s="72" t="n"/>
    </row>
    <row r="181">
      <c r="A181" s="72" t="n"/>
    </row>
    <row r="182">
      <c r="A182" s="72" t="n"/>
    </row>
    <row r="183">
      <c r="A183" s="72" t="n"/>
    </row>
    <row r="184">
      <c r="A184" s="72" t="n"/>
    </row>
    <row r="185">
      <c r="A185" s="72" t="n"/>
    </row>
    <row r="186">
      <c r="A186" s="72" t="n"/>
    </row>
    <row r="187">
      <c r="A187" s="72" t="n"/>
    </row>
    <row r="188">
      <c r="A188" s="72" t="n"/>
    </row>
    <row r="189">
      <c r="A189" s="72" t="n"/>
    </row>
    <row r="190">
      <c r="A190" s="72" t="n"/>
    </row>
    <row r="191">
      <c r="A191" s="72" t="n"/>
    </row>
    <row r="192">
      <c r="A192" s="72" t="n"/>
    </row>
    <row r="193">
      <c r="A193" s="72" t="n"/>
    </row>
    <row r="194">
      <c r="A194" s="72" t="n"/>
    </row>
    <row r="195">
      <c r="A195" s="72" t="n"/>
    </row>
    <row r="196">
      <c r="A196" s="72" t="n"/>
    </row>
    <row r="197">
      <c r="A197" s="72" t="n"/>
    </row>
    <row r="198">
      <c r="A198" s="72" t="n"/>
    </row>
    <row r="199">
      <c r="A199" s="72" t="n"/>
    </row>
    <row r="200">
      <c r="A200" s="72" t="n"/>
    </row>
  </sheetData>
  <mergeCells count="1">
    <mergeCell ref="A1:K1"/>
  </mergeCells>
  <dataValidations count="1">
    <dataValidation sqref="K4:K200" showDropDown="0" showInputMessage="0" showErrorMessage="0" allowBlank="0" type="list">
      <formula1>"Draft,Needs Playtest,Validated,Deprecated"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5" customWidth="1" style="58" min="1" max="1"/>
    <col width="35" customWidth="1" style="58" min="2" max="2"/>
  </cols>
  <sheetData>
    <row r="1" ht="30" customHeight="1" s="58">
      <c r="A1" s="9" t="inlineStr">
        <is>
          <t>Liste controllate e vocabolario governato</t>
        </is>
      </c>
      <c r="B1" s="1" t="n"/>
    </row>
    <row r="3" ht="34" customHeight="1" s="58">
      <c r="A3" s="14" t="inlineStr">
        <is>
          <t>Categoria</t>
        </is>
      </c>
      <c r="B3" s="14" t="inlineStr">
        <is>
          <t>Valore</t>
        </is>
      </c>
    </row>
    <row r="4">
      <c r="A4" s="22" t="inlineStr">
        <is>
          <t>Ruolo</t>
        </is>
      </c>
      <c r="B4" s="22" t="inlineStr">
        <is>
          <t>Guardian</t>
        </is>
      </c>
    </row>
    <row r="5">
      <c r="A5" s="22" t="inlineStr">
        <is>
          <t>Ruolo</t>
        </is>
      </c>
      <c r="B5" s="22" t="inlineStr">
        <is>
          <t>Controller</t>
        </is>
      </c>
    </row>
    <row r="6">
      <c r="A6" s="22" t="inlineStr">
        <is>
          <t>Ruolo</t>
        </is>
      </c>
      <c r="B6" s="22" t="inlineStr">
        <is>
          <t>Striker</t>
        </is>
      </c>
    </row>
    <row r="7">
      <c r="A7" s="22" t="inlineStr">
        <is>
          <t>Ruolo</t>
        </is>
      </c>
      <c r="B7" s="22" t="inlineStr">
        <is>
          <t>Marksman</t>
        </is>
      </c>
    </row>
    <row r="8">
      <c r="A8" s="22" t="inlineStr">
        <is>
          <t>Ruolo</t>
        </is>
      </c>
      <c r="B8" s="22" t="inlineStr">
        <is>
          <t>Support</t>
        </is>
      </c>
    </row>
    <row r="9">
      <c r="A9" s="22" t="inlineStr">
        <is>
          <t>Ruolo</t>
        </is>
      </c>
      <c r="B9" s="22" t="inlineStr">
        <is>
          <t>Infiltrator</t>
        </is>
      </c>
    </row>
    <row r="10">
      <c r="A10" s="22" t="inlineStr">
        <is>
          <t>Ruolo</t>
        </is>
      </c>
      <c r="B10" s="22" t="inlineStr">
        <is>
          <t>Bruiser</t>
        </is>
      </c>
    </row>
    <row r="11">
      <c r="A11" s="22" t="inlineStr">
        <is>
          <t>Ruolo secondario</t>
        </is>
      </c>
      <c r="B11" s="22" t="inlineStr">
        <is>
          <t>Guardian</t>
        </is>
      </c>
    </row>
    <row r="12">
      <c r="A12" s="22" t="inlineStr">
        <is>
          <t>Ruolo secondario</t>
        </is>
      </c>
      <c r="B12" s="22" t="inlineStr">
        <is>
          <t>Controller</t>
        </is>
      </c>
    </row>
    <row r="13">
      <c r="A13" s="22" t="inlineStr">
        <is>
          <t>Ruolo secondario</t>
        </is>
      </c>
      <c r="B13" s="22" t="inlineStr">
        <is>
          <t>Striker</t>
        </is>
      </c>
    </row>
    <row r="14">
      <c r="A14" s="22" t="inlineStr">
        <is>
          <t>Ruolo secondario</t>
        </is>
      </c>
      <c r="B14" s="22" t="inlineStr">
        <is>
          <t>Marksman</t>
        </is>
      </c>
    </row>
    <row r="15">
      <c r="A15" s="22" t="inlineStr">
        <is>
          <t>Ruolo secondario</t>
        </is>
      </c>
      <c r="B15" s="22" t="inlineStr">
        <is>
          <t>Support</t>
        </is>
      </c>
    </row>
    <row r="16">
      <c r="A16" s="22" t="inlineStr">
        <is>
          <t>Ruolo secondario</t>
        </is>
      </c>
      <c r="B16" s="22" t="inlineStr">
        <is>
          <t>Infiltrator</t>
        </is>
      </c>
    </row>
    <row r="17">
      <c r="A17" s="22" t="inlineStr">
        <is>
          <t>Ruolo secondario</t>
        </is>
      </c>
      <c r="B17" s="22" t="inlineStr">
        <is>
          <t>Bruiser</t>
        </is>
      </c>
    </row>
    <row r="18">
      <c r="A18" s="22" t="inlineStr">
        <is>
          <t>Ruolo secondario</t>
        </is>
      </c>
      <c r="B18" s="22" t="inlineStr">
        <is>
          <t>None</t>
        </is>
      </c>
    </row>
    <row r="19">
      <c r="A19" s="22" t="inlineStr">
        <is>
          <t>Range</t>
        </is>
      </c>
      <c r="B19" s="22" t="inlineStr">
        <is>
          <t>Melee</t>
        </is>
      </c>
    </row>
    <row r="20">
      <c r="A20" s="22" t="inlineStr">
        <is>
          <t>Range</t>
        </is>
      </c>
      <c r="B20" s="22" t="inlineStr">
        <is>
          <t>Short</t>
        </is>
      </c>
    </row>
    <row r="21">
      <c r="A21" s="22" t="inlineStr">
        <is>
          <t>Range</t>
        </is>
      </c>
      <c r="B21" s="22" t="inlineStr">
        <is>
          <t>Medium</t>
        </is>
      </c>
    </row>
    <row r="22">
      <c r="A22" s="22" t="inlineStr">
        <is>
          <t>Range</t>
        </is>
      </c>
      <c r="B22" s="22" t="inlineStr">
        <is>
          <t>Long</t>
        </is>
      </c>
    </row>
    <row r="23">
      <c r="A23" s="22" t="inlineStr">
        <is>
          <t>Range</t>
        </is>
      </c>
      <c r="B23" s="22" t="inlineStr">
        <is>
          <t>Hybrid</t>
        </is>
      </c>
    </row>
    <row r="24">
      <c r="A24" s="22" t="inlineStr">
        <is>
          <t>Danno</t>
        </is>
      </c>
      <c r="B24" s="22" t="inlineStr">
        <is>
          <t>Kinetic</t>
        </is>
      </c>
    </row>
    <row r="25">
      <c r="A25" s="22" t="inlineStr">
        <is>
          <t>Danno</t>
        </is>
      </c>
      <c r="B25" s="22" t="inlineStr">
        <is>
          <t>Energy</t>
        </is>
      </c>
    </row>
    <row r="26">
      <c r="A26" s="22" t="inlineStr">
        <is>
          <t>Danno</t>
        </is>
      </c>
      <c r="B26" s="22" t="inlineStr">
        <is>
          <t>Thermal</t>
        </is>
      </c>
    </row>
    <row r="27">
      <c r="A27" s="22" t="inlineStr">
        <is>
          <t>Danno</t>
        </is>
      </c>
      <c r="B27" s="22" t="inlineStr">
        <is>
          <t>Electric</t>
        </is>
      </c>
    </row>
    <row r="28">
      <c r="A28" s="22" t="inlineStr">
        <is>
          <t>Danno</t>
        </is>
      </c>
      <c r="B28" s="22" t="inlineStr">
        <is>
          <t>Cold</t>
        </is>
      </c>
    </row>
    <row r="29">
      <c r="A29" s="22" t="inlineStr">
        <is>
          <t>Danno</t>
        </is>
      </c>
      <c r="B29" s="22" t="inlineStr">
        <is>
          <t>Toxic</t>
        </is>
      </c>
    </row>
    <row r="30">
      <c r="A30" s="22" t="inlineStr">
        <is>
          <t>Danno</t>
        </is>
      </c>
      <c r="B30" s="22" t="inlineStr">
        <is>
          <t>Hybrid</t>
        </is>
      </c>
    </row>
    <row r="31">
      <c r="A31" s="22" t="inlineStr">
        <is>
          <t>Roster status</t>
        </is>
      </c>
      <c r="B31" s="22" t="inlineStr">
        <is>
          <t>Vertical Slice</t>
        </is>
      </c>
    </row>
    <row r="32">
      <c r="A32" s="22" t="inlineStr">
        <is>
          <t>Roster status</t>
        </is>
      </c>
      <c r="B32" s="22" t="inlineStr">
        <is>
          <t>Candidate</t>
        </is>
      </c>
    </row>
    <row r="33">
      <c r="A33" s="22" t="inlineStr">
        <is>
          <t>Roster status</t>
        </is>
      </c>
      <c r="B33" s="22" t="inlineStr">
        <is>
          <t>Asset-only</t>
        </is>
      </c>
    </row>
    <row r="34">
      <c r="A34" s="22" t="inlineStr">
        <is>
          <t>Complessità</t>
        </is>
      </c>
      <c r="B34" s="22" t="inlineStr">
        <is>
          <t>Low</t>
        </is>
      </c>
    </row>
    <row r="35">
      <c r="A35" s="22" t="inlineStr">
        <is>
          <t>Complessità</t>
        </is>
      </c>
      <c r="B35" s="22" t="inlineStr">
        <is>
          <t>Medium</t>
        </is>
      </c>
    </row>
    <row r="36">
      <c r="A36" s="22" t="inlineStr">
        <is>
          <t>Complessità</t>
        </is>
      </c>
      <c r="B36" s="22" t="inlineStr">
        <is>
          <t>High</t>
        </is>
      </c>
    </row>
    <row r="37">
      <c r="A37" s="22" t="inlineStr">
        <is>
          <t>Validation</t>
        </is>
      </c>
      <c r="B37" s="22" t="inlineStr">
        <is>
          <t>Draft</t>
        </is>
      </c>
    </row>
    <row r="38">
      <c r="A38" s="22" t="inlineStr">
        <is>
          <t>Validation</t>
        </is>
      </c>
      <c r="B38" s="22" t="inlineStr">
        <is>
          <t>Needs Playtest</t>
        </is>
      </c>
    </row>
    <row r="39">
      <c r="A39" s="22" t="inlineStr">
        <is>
          <t>Validation</t>
        </is>
      </c>
      <c r="B39" s="22" t="inlineStr">
        <is>
          <t>Validated</t>
        </is>
      </c>
    </row>
    <row r="40">
      <c r="A40" s="22" t="inlineStr">
        <is>
          <t>Validation</t>
        </is>
      </c>
      <c r="B40" s="22" t="inlineStr">
        <is>
          <t>Deprecated</t>
        </is>
      </c>
    </row>
    <row r="41">
      <c r="A41" s="22" t="inlineStr">
        <is>
          <t>Priorità</t>
        </is>
      </c>
      <c r="B41" s="22" t="inlineStr">
        <is>
          <t>P0</t>
        </is>
      </c>
    </row>
    <row r="42">
      <c r="A42" s="22" t="inlineStr">
        <is>
          <t>Priorità</t>
        </is>
      </c>
      <c r="B42" s="22" t="inlineStr">
        <is>
          <t>P1</t>
        </is>
      </c>
    </row>
    <row r="43">
      <c r="A43" s="22" t="inlineStr">
        <is>
          <t>Priorità</t>
        </is>
      </c>
      <c r="B43" s="22" t="inlineStr">
        <is>
          <t>P2</t>
        </is>
      </c>
    </row>
    <row r="44">
      <c r="A44" s="22" t="inlineStr">
        <is>
          <t>Priorità</t>
        </is>
      </c>
      <c r="B44" s="22" t="inlineStr">
        <is>
          <t>P3</t>
        </is>
      </c>
    </row>
    <row r="45">
      <c r="A45" s="22" t="inlineStr">
        <is>
          <t>Stato contatto</t>
        </is>
      </c>
      <c r="B45" s="22" t="inlineStr">
        <is>
          <t>Nascosto</t>
        </is>
      </c>
    </row>
    <row r="46">
      <c r="A46" s="22" t="inlineStr">
        <is>
          <t>Stato contatto</t>
        </is>
      </c>
      <c r="B46" s="22" t="inlineStr">
        <is>
          <t>Contatto incerto</t>
        </is>
      </c>
    </row>
    <row r="47">
      <c r="A47" s="22" t="inlineStr">
        <is>
          <t>Stato contatto</t>
        </is>
      </c>
      <c r="B47" s="22" t="inlineStr">
        <is>
          <t>Rilevato</t>
        </is>
      </c>
    </row>
    <row r="48">
      <c r="A48" s="22" t="inlineStr">
        <is>
          <t>Stato contatto</t>
        </is>
      </c>
      <c r="B48" s="22" t="inlineStr">
        <is>
          <t>Identificato</t>
        </is>
      </c>
    </row>
    <row r="49">
      <c r="A49" s="22" t="inlineStr">
        <is>
          <t>Stato contatto</t>
        </is>
      </c>
      <c r="B49" s="22" t="inlineStr">
        <is>
          <t>Ultimo contatto</t>
        </is>
      </c>
    </row>
    <row r="50">
      <c r="A50" s="22" t="inlineStr">
        <is>
          <t>Requires_Contact</t>
        </is>
      </c>
      <c r="B50" s="22" t="inlineStr">
        <is>
          <t>Nessuno</t>
        </is>
      </c>
    </row>
    <row r="51">
      <c r="A51" s="22" t="inlineStr">
        <is>
          <t>Requires_Contact</t>
        </is>
      </c>
      <c r="B51" s="22" t="inlineStr">
        <is>
          <t>Rilevato</t>
        </is>
      </c>
    </row>
    <row r="52">
      <c r="A52" s="22" t="inlineStr">
        <is>
          <t>Requires_Contact</t>
        </is>
      </c>
      <c r="B52" s="22" t="inlineStr">
        <is>
          <t>Identificato</t>
        </is>
      </c>
    </row>
    <row r="53">
      <c r="A53" s="22" t="inlineStr">
        <is>
          <t>Requires_Contact</t>
        </is>
      </c>
      <c r="B53" s="22" t="inlineStr">
        <is>
          <t>Per abilità</t>
        </is>
      </c>
    </row>
    <row r="54">
      <c r="A54" s="22" t="inlineStr">
        <is>
          <t>Reveals_Self</t>
        </is>
      </c>
      <c r="B54" s="22" t="inlineStr">
        <is>
          <t>No</t>
        </is>
      </c>
    </row>
    <row r="55">
      <c r="A55" s="22" t="inlineStr">
        <is>
          <t>Reveals_Self</t>
        </is>
      </c>
      <c r="B55" s="22" t="inlineStr">
        <is>
          <t>Direzione</t>
        </is>
      </c>
    </row>
    <row r="56">
      <c r="A56" s="22" t="inlineStr">
        <is>
          <t>Reveals_Self</t>
        </is>
      </c>
      <c r="B56" s="22" t="inlineStr">
        <is>
          <t>Posizione</t>
        </is>
      </c>
    </row>
    <row r="57">
      <c r="A57" s="22" t="inlineStr">
        <is>
          <t>Vision_Domain</t>
        </is>
      </c>
      <c r="B57" s="22" t="inlineStr">
        <is>
          <t>Surface</t>
        </is>
      </c>
    </row>
    <row r="58">
      <c r="A58" s="22" t="inlineStr">
        <is>
          <t>Vision_Domain</t>
        </is>
      </c>
      <c r="B58" s="22" t="inlineStr">
        <is>
          <t>Tunnel</t>
        </is>
      </c>
    </row>
    <row r="59">
      <c r="A59" s="22" t="inlineStr">
        <is>
          <t>Vision_Domain</t>
        </is>
      </c>
      <c r="B59" s="22" t="inlineStr">
        <is>
          <t>Roof</t>
        </is>
      </c>
    </row>
    <row r="60">
      <c r="A60" s="22" t="inlineStr">
        <is>
          <t>Vision_Domain</t>
        </is>
      </c>
      <c r="B60" s="22" t="inlineStr">
        <is>
          <t>Bridge</t>
        </is>
      </c>
    </row>
    <row r="61">
      <c r="A61" s="22" t="inlineStr">
        <is>
          <t>Vision_Domain</t>
        </is>
      </c>
      <c r="B61" s="22" t="inlineStr">
        <is>
          <t>Transit</t>
        </is>
      </c>
    </row>
    <row r="62">
      <c r="A62" s="22" t="inlineStr">
        <is>
          <t>Scope_v0.1</t>
        </is>
      </c>
      <c r="B62" s="22" t="inlineStr">
        <is>
          <t>Slice</t>
        </is>
      </c>
    </row>
    <row r="63">
      <c r="A63" s="22" t="inlineStr">
        <is>
          <t>Scope_v0.1</t>
        </is>
      </c>
      <c r="B63" s="22" t="inlineStr">
        <is>
          <t>Espansione</t>
        </is>
      </c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3" customWidth="1" style="58" min="1" max="1"/>
    <col width="16" customWidth="1" style="58" min="2" max="2"/>
    <col width="16" customWidth="1" style="58" min="3" max="3"/>
    <col width="16" customWidth="1" style="58" min="4" max="4"/>
    <col width="20" customWidth="1" style="58" min="5" max="5"/>
    <col width="22" customWidth="1" style="58" min="6" max="6"/>
    <col width="23" customWidth="1" style="58" min="7" max="7"/>
    <col width="16" customWidth="1" style="58" min="8" max="8"/>
    <col width="16" customWidth="1" style="58" min="9" max="9"/>
    <col width="33" customWidth="1" style="58" min="10" max="10"/>
  </cols>
  <sheetData>
    <row r="1" ht="34" customHeight="1" s="58">
      <c r="A1" s="45" t="inlineStr">
        <is>
          <t>RefactorTactics — Balance Dashboard v0.1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2" customHeight="1" s="58">
      <c r="A3" s="55">
        <f>"Hero totali"&amp;CHAR(10)&amp;TEXT(COUNTA('02_Roster'!A4:A100),"0")</f>
        <v/>
      </c>
      <c r="B3" s="1" t="n"/>
      <c r="D3" s="55">
        <f>"Vertical Slice"&amp;CHAR(10)&amp;TEXT(COUNTIF('02_Roster'!B4:B100,"Vertical Slice"),"0")</f>
        <v/>
      </c>
      <c r="E3" s="1" t="n"/>
      <c r="G3" s="55">
        <f>"Abilità VS"&amp;CHAR(10)&amp;TEXT(COUNTA('06_Abilita_VS'!A4:A100),"0")</f>
        <v/>
      </c>
      <c r="H3" s="1" t="n"/>
      <c r="I3" s="55">
        <f>"Matrici"&amp;CHAR(10)&amp;TEXT(COUNTA('00_Indice'!A4:A40),"0")</f>
        <v/>
      </c>
      <c r="J3" s="1" t="n"/>
    </row>
    <row r="4" ht="32" customHeight="1" s="58">
      <c r="A4" s="1" t="n"/>
      <c r="B4" s="1" t="n"/>
      <c r="D4" s="1" t="n"/>
      <c r="E4" s="1" t="n"/>
      <c r="G4" s="1" t="n"/>
      <c r="H4" s="1" t="n"/>
      <c r="I4" s="1" t="n"/>
      <c r="J4" s="1" t="n"/>
    </row>
    <row r="5" ht="32" customHeight="1" s="58">
      <c r="A5" s="1" t="n"/>
      <c r="B5" s="1" t="n"/>
      <c r="D5" s="1" t="n"/>
      <c r="E5" s="1" t="n"/>
      <c r="G5" s="1" t="n"/>
      <c r="H5" s="1" t="n"/>
      <c r="I5" s="1" t="n"/>
      <c r="J5" s="1" t="n"/>
    </row>
    <row r="8">
      <c r="A8" s="13" t="inlineStr">
        <is>
          <t>Ruolo</t>
        </is>
      </c>
      <c r="B8" s="13" t="inlineStr">
        <is>
          <t>Hero</t>
        </is>
      </c>
      <c r="C8" s="13" t="inlineStr">
        <is>
          <t>Indice combat medio</t>
        </is>
      </c>
      <c r="E8" s="35" t="inlineStr">
        <is>
          <t>Vertical Slice — profili chiave</t>
        </is>
      </c>
      <c r="F8" s="1" t="n"/>
      <c r="G8" s="1" t="n"/>
      <c r="H8" s="1" t="n"/>
      <c r="I8" s="1" t="n"/>
      <c r="J8" s="1" t="n"/>
    </row>
    <row r="9">
      <c r="A9" s="36" t="inlineStr">
        <is>
          <t>Guardian</t>
        </is>
      </c>
      <c r="B9" s="36">
        <f>COUNTIF('02_Roster'!C4:C100,A9)</f>
        <v/>
      </c>
      <c r="C9" s="73">
        <f>IF(B9=0,0,SUMIF('03_Stats_Base'!B4:B100,A9,'03_Stats_Base'!M4:M100)/B9)</f>
        <v/>
      </c>
      <c r="E9" s="65" t="inlineStr">
        <is>
          <t>Hero</t>
        </is>
      </c>
      <c r="F9" s="65" t="inlineStr">
        <is>
          <t>Ruolo</t>
        </is>
      </c>
      <c r="G9" s="65" t="inlineStr">
        <is>
          <t>Firma</t>
        </is>
      </c>
      <c r="H9" s="65" t="inlineStr">
        <is>
          <t>Sight</t>
        </is>
      </c>
      <c r="I9" s="65" t="inlineStr">
        <is>
          <t>Move</t>
        </is>
      </c>
      <c r="J9" s="65" t="inlineStr">
        <is>
          <t>Focus</t>
        </is>
      </c>
    </row>
    <row r="10">
      <c r="A10" s="36" t="inlineStr">
        <is>
          <t>Controller</t>
        </is>
      </c>
      <c r="B10" s="36">
        <f>COUNTIF('02_Roster'!C4:C100,A10)</f>
        <v/>
      </c>
      <c r="C10" s="73">
        <f>IF(B10=0,0,SUMIF('03_Stats_Base'!B4:B100,A10,'03_Stats_Base'!M4:M100)/B10)</f>
        <v/>
      </c>
      <c r="E10" s="36" t="inlineStr">
        <is>
          <t>Steel</t>
        </is>
      </c>
      <c r="F10" s="36" t="inlineStr">
        <is>
          <t>Guardian/Controller</t>
        </is>
      </c>
      <c r="G10" s="36" t="inlineStr">
        <is>
          <t>Integrità Scudo</t>
        </is>
      </c>
      <c r="H10" s="36" t="n">
        <v>6</v>
      </c>
      <c r="I10" s="36" t="n">
        <v>4</v>
      </c>
      <c r="J10" s="36" t="inlineStr">
        <is>
          <t>Interposizione, cover, reazioni</t>
        </is>
      </c>
    </row>
    <row r="11">
      <c r="A11" s="36" t="inlineStr">
        <is>
          <t>Striker</t>
        </is>
      </c>
      <c r="B11" s="36">
        <f>COUNTIF('02_Roster'!C4:C100,A11)</f>
        <v/>
      </c>
      <c r="C11" s="73">
        <f>IF(B11=0,0,SUMIF('03_Stats_Base'!B4:B100,A11,'03_Stats_Base'!M4:M100)/B11)</f>
        <v/>
      </c>
      <c r="E11" s="36" t="inlineStr">
        <is>
          <t>Aurora</t>
        </is>
      </c>
      <c r="F11" s="36" t="inlineStr">
        <is>
          <t>Controller/Striker</t>
        </is>
      </c>
      <c r="G11" s="36" t="inlineStr">
        <is>
          <t>Cariche Termiche</t>
        </is>
      </c>
      <c r="H11" s="36" t="n">
        <v>7</v>
      </c>
      <c r="I11" s="36" t="n">
        <v>6</v>
      </c>
      <c r="J11" s="36" t="inlineStr">
        <is>
          <t>Ghiaccio, fumo, modifica grafo</t>
        </is>
      </c>
    </row>
    <row r="12">
      <c r="A12" s="36" t="inlineStr">
        <is>
          <t>Marksman</t>
        </is>
      </c>
      <c r="B12" s="36">
        <f>COUNTIF('02_Roster'!C4:C100,A12)</f>
        <v/>
      </c>
      <c r="C12" s="73">
        <f>IF(B12=0,0,SUMIF('03_Stats_Base'!B4:B100,A12,'03_Stats_Base'!M4:M100)/B12)</f>
        <v/>
      </c>
      <c r="E12" s="36" t="inlineStr">
        <is>
          <t>Murdock</t>
        </is>
      </c>
      <c r="F12" s="36" t="inlineStr">
        <is>
          <t>Marksman/Controller</t>
        </is>
      </c>
      <c r="G12" s="36" t="inlineStr">
        <is>
          <t>Munizioni Speciali</t>
        </is>
      </c>
      <c r="H12" s="36" t="n">
        <v>11</v>
      </c>
      <c r="I12" s="36" t="n">
        <v>5</v>
      </c>
      <c r="J12" s="36" t="inlineStr">
        <is>
          <t>LOS, overwatch, tracking</t>
        </is>
      </c>
    </row>
    <row r="13">
      <c r="A13" s="36" t="inlineStr">
        <is>
          <t>Support</t>
        </is>
      </c>
      <c r="B13" s="36">
        <f>COUNTIF('02_Roster'!C4:C100,A13)</f>
        <v/>
      </c>
      <c r="C13" s="73">
        <f>IF(B13=0,0,SUMIF('03_Stats_Base'!B4:B100,A13,'03_Stats_Base'!M4:M100)/B13)</f>
        <v/>
      </c>
      <c r="E13" s="36" t="inlineStr">
        <is>
          <t>Kwang</t>
        </is>
      </c>
      <c r="F13" s="36" t="inlineStr">
        <is>
          <t>Bruiser/Controller</t>
        </is>
      </c>
      <c r="G13" s="36" t="inlineStr">
        <is>
          <t>Carica Tempesta</t>
        </is>
      </c>
      <c r="H13" s="36" t="n">
        <v>6</v>
      </c>
      <c r="I13" s="36" t="n">
        <v>6</v>
      </c>
      <c r="J13" s="36" t="inlineStr">
        <is>
          <t>Acqua + elettricità, anchor</t>
        </is>
      </c>
    </row>
    <row r="14">
      <c r="A14" s="36" t="inlineStr">
        <is>
          <t>Infiltrator</t>
        </is>
      </c>
      <c r="B14" s="36">
        <f>COUNTIF('02_Roster'!C4:C100,A14)</f>
        <v/>
      </c>
      <c r="C14" s="73">
        <f>IF(B14=0,0,SUMIF('03_Stats_Base'!B4:B100,A14,'03_Stats_Base'!M4:M100)/B14)</f>
        <v/>
      </c>
    </row>
    <row r="15">
      <c r="A15" s="36" t="inlineStr">
        <is>
          <t>Bruiser</t>
        </is>
      </c>
      <c r="B15" s="36">
        <f>COUNTIF('02_Roster'!C4:C100,A15)</f>
        <v/>
      </c>
      <c r="C15" s="73">
        <f>IF(B15=0,0,SUMIF('03_Stats_Base'!B4:B100,A15,'03_Stats_Base'!M4:M100)/B15)</f>
        <v/>
      </c>
    </row>
    <row r="18">
      <c r="A18" s="70" t="inlineStr">
        <is>
          <t>Controlli di bilanciamento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1" t="inlineStr">
        <is>
          <t>Check</t>
        </is>
      </c>
      <c r="B19" s="11" t="inlineStr">
        <is>
          <t>Formula/Regola</t>
        </is>
      </c>
      <c r="C19" s="11" t="inlineStr">
        <is>
          <t>Risultato</t>
        </is>
      </c>
      <c r="D19" s="11" t="inlineStr">
        <is>
          <t>Target</t>
        </is>
      </c>
    </row>
    <row r="20">
      <c r="A20" t="inlineStr">
        <is>
          <t>Hero VS</t>
        </is>
      </c>
      <c r="B20" t="inlineStr">
        <is>
          <t>Exactly 4</t>
        </is>
      </c>
      <c r="C20">
        <f>COUNTIF('02_Roster'!B4:B100,"Vertical Slice")</f>
        <v/>
      </c>
      <c r="D20" t="n">
        <v>4</v>
      </c>
    </row>
    <row r="21">
      <c r="A21" t="inlineStr">
        <is>
          <t>Abilità per hero VS</t>
        </is>
      </c>
      <c r="B21" t="inlineStr">
        <is>
          <t>Exactly 4</t>
        </is>
      </c>
      <c r="C21">
        <f>COUNTA('06_Abilita_VS'!A4:A100)/MAX(1,COUNTIF('02_Roster'!B4:B100,"Vertical Slice"))</f>
        <v/>
      </c>
      <c r="D21" t="n">
        <v>4</v>
      </c>
    </row>
    <row r="22">
      <c r="A22" t="inlineStr">
        <is>
          <t>Intent leak</t>
        </is>
      </c>
      <c r="B22" t="inlineStr">
        <is>
          <t>Must be zero</t>
        </is>
      </c>
      <c r="C22">
        <f>0</f>
        <v/>
      </c>
      <c r="D22" t="n">
        <v>0</v>
      </c>
    </row>
    <row r="23">
      <c r="A23" t="inlineStr">
        <is>
          <t>Replay divergence</t>
        </is>
      </c>
      <c r="B23" t="inlineStr">
        <is>
          <t>Must be zero</t>
        </is>
      </c>
      <c r="C23">
        <f>0</f>
        <v/>
      </c>
      <c r="D23" t="n">
        <v>0</v>
      </c>
    </row>
  </sheetData>
  <mergeCells count="7">
    <mergeCell ref="G3:H5"/>
    <mergeCell ref="A1:J1"/>
    <mergeCell ref="A3:B5"/>
    <mergeCell ref="A18:J18"/>
    <mergeCell ref="D3:E5"/>
    <mergeCell ref="E8:J8"/>
    <mergeCell ref="I3:J5"/>
  </mergeCells>
  <conditionalFormatting sqref="C9:C15">
    <cfRule type="colorScale" priority="1">
      <colorScale>
        <cfvo type="min"/>
        <cfvo type="percentile" val="50"/>
        <cfvo type="max"/>
        <color rgb="FFDBEAFE"/>
        <color rgb="FFFEF3C7"/>
        <color rgb="FFFECACA"/>
      </colorScale>
    </cfRule>
  </conditionalFormatting>
  <conditionalFormatting sqref="C20:C23">
    <cfRule type="expression" priority="2" dxfId="0">
      <formula>C20&lt;&gt;D20</formula>
    </cfRule>
    <cfRule type="expression" priority="3" dxfId="2">
      <formula>C20=D20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2026-08-07T07:44:28Z</dcterms:created>
  <dcterms:modified xmlns:dcterms="http://purl.org/dc/terms/" xmlns:xsi="http://www.w3.org/2001/XMLSchema-instance" xsi:type="dcterms:W3CDTF">2026-08-07T08:21:49Z</dcterms:modified>
</cp:coreProperties>
</file>