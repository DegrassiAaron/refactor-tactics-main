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780fd2a6c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eb0f1f4645647f0"/>
    <x:sheet xmlns:r="http://schemas.openxmlformats.org/officeDocument/2006/relationships" name="01_Hero_Profile" sheetId="2" r:id="R2440124638c2425c"/>
    <x:sheet xmlns:r="http://schemas.openxmlformats.org/officeDocument/2006/relationships" name="02_Hero_Stats" sheetId="3" r:id="Rd8e9dd5251324e09"/>
    <x:sheet xmlns:r="http://schemas.openxmlformats.org/officeDocument/2006/relationships" name="03_Hero_Vision" sheetId="4" r:id="Re818c919d8544ccd"/>
    <x:sheet xmlns:r="http://schemas.openxmlformats.org/officeDocument/2006/relationships" name="04_Hero_Mobility" sheetId="5" r:id="Rb5b39add9f014969"/>
    <x:sheet xmlns:r="http://schemas.openxmlformats.org/officeDocument/2006/relationships" name="05_Hero_Mechanics" sheetId="6" r:id="R9afd80efd59e4eff"/>
    <x:sheet xmlns:r="http://schemas.openxmlformats.org/officeDocument/2006/relationships" name="06_Abilities" sheetId="7" r:id="Rb72d4866df3e4c92"/>
    <x:sheet xmlns:r="http://schemas.openxmlformats.org/officeDocument/2006/relationships" name="07_Reactions" sheetId="8" r:id="R9a48fe132f8f4a0c"/>
    <x:sheet xmlns:r="http://schemas.openxmlformats.org/officeDocument/2006/relationships" name="08_Resources" sheetId="9" r:id="Rb63885a94bb74ec4"/>
    <x:sheet xmlns:r="http://schemas.openxmlformats.org/officeDocument/2006/relationships" name="09_Equipment" sheetId="10" r:id="R7a620c72c5724b32"/>
    <x:sheet xmlns:r="http://schemas.openxmlformats.org/officeDocument/2006/relationships" name="10_Variants" sheetId="11" r:id="R34313e836dc54350"/>
    <x:sheet xmlns:r="http://schemas.openxmlformats.org/officeDocument/2006/relationships" name="11_Wiki_Status" sheetId="12" r:id="R063a8af8173346f4"/>
    <x:sheet xmlns:r="http://schemas.openxmlformats.org/officeDocument/2006/relationships" name="12_Lists" sheetId="13" r:id="R7a702869a1454d2d"/>
    <x:sheet xmlns:r="http://schemas.openxmlformats.org/officeDocument/2006/relationships" name="13_Dashboard" sheetId="14" r:id="R8ebd88cbd5684c0e"/>
    <x:sheet xmlns:r="http://schemas.openxmlformats.org/officeDocument/2006/relationships" name="14_Character_Candidates" sheetId="15" r:id="Rac4d3d7005f1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  <x:font>
      <x:sz val="11"/>
      <x:color rgb="FF78350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4" fillId="5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E0E7FF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e36c594934091" /><Relationship Type="http://schemas.openxmlformats.org/officeDocument/2006/relationships/theme" Target="/xl/theme/theme1.xml" Id="R19ceea8935cb4457" /><Relationship Type="http://schemas.openxmlformats.org/officeDocument/2006/relationships/sharedStrings" Target="/xl/sharedStrings.xml" Id="R8949c2d904ba4c87" /><Relationship Type="http://schemas.openxmlformats.org/officeDocument/2006/relationships/worksheet" Target="/xl/worksheets/sheet1.xml" Id="R4eb0f1f4645647f0" /><Relationship Type="http://schemas.openxmlformats.org/officeDocument/2006/relationships/worksheet" Target="/xl/worksheets/sheet2.xml" Id="R2440124638c2425c" /><Relationship Type="http://schemas.openxmlformats.org/officeDocument/2006/relationships/worksheet" Target="/xl/worksheets/sheet3.xml" Id="Rd8e9dd5251324e09" /><Relationship Type="http://schemas.openxmlformats.org/officeDocument/2006/relationships/worksheet" Target="/xl/worksheets/sheet4.xml" Id="Re818c919d8544ccd" /><Relationship Type="http://schemas.openxmlformats.org/officeDocument/2006/relationships/worksheet" Target="/xl/worksheets/sheet5.xml" Id="Rb5b39add9f014969" /><Relationship Type="http://schemas.openxmlformats.org/officeDocument/2006/relationships/worksheet" Target="/xl/worksheets/sheet6.xml" Id="R9afd80efd59e4eff" /><Relationship Type="http://schemas.openxmlformats.org/officeDocument/2006/relationships/worksheet" Target="/xl/worksheets/sheet7.xml" Id="Rb72d4866df3e4c92" /><Relationship Type="http://schemas.openxmlformats.org/officeDocument/2006/relationships/worksheet" Target="/xl/worksheets/sheet8.xml" Id="R9a48fe132f8f4a0c" /><Relationship Type="http://schemas.openxmlformats.org/officeDocument/2006/relationships/worksheet" Target="/xl/worksheets/sheet9.xml" Id="Rb63885a94bb74ec4" /><Relationship Type="http://schemas.openxmlformats.org/officeDocument/2006/relationships/worksheet" Target="/xl/worksheets/sheet10.xml" Id="R7a620c72c5724b32" /><Relationship Type="http://schemas.openxmlformats.org/officeDocument/2006/relationships/worksheet" Target="/xl/worksheets/sheet11.xml" Id="R34313e836dc54350" /><Relationship Type="http://schemas.openxmlformats.org/officeDocument/2006/relationships/worksheet" Target="/xl/worksheets/sheet12.xml" Id="R063a8af8173346f4" /><Relationship Type="http://schemas.openxmlformats.org/officeDocument/2006/relationships/worksheet" Target="/xl/worksheets/sheet13.xml" Id="R7a702869a1454d2d" /><Relationship Type="http://schemas.openxmlformats.org/officeDocument/2006/relationships/worksheet" Target="/xl/worksheets/sheet14.xml" Id="R8ebd88cbd5684c0e" /><Relationship Type="http://schemas.openxmlformats.org/officeDocument/2006/relationships/worksheet" Target="/xl/worksheets/sheet15.xml" Id="Rac4d3d7005f147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0" customHeight="1">
      <x:c r="A1" s="72" t="str">
        <x:v>RefactorTactics Character Data v0.4</x:v>
      </x:c>
      <x:c r="B1" s="72"/>
      <x:c r="C1" s="4"/>
      <x:c r="D1" s="4"/>
      <x:c r="E1" s="4"/>
      <x:c r="F1" s="4"/>
      <x:c r="G1" s="4"/>
      <x:c r="H1" s="4"/>
    </x:row>
    <x:row r="2">
      <x:c r="A2" s="71" t="str">
        <x:v>Scopo</x:v>
      </x:c>
      <x:c r="B2" s="71" t="str">
        <x:v>Dataset per Character Wiki e authoring: roster ufficiale di 8 personaggi, diviso per release.</x:v>
      </x:c>
    </x:row>
    <x:row r="3">
      <x:c r="A3" s="60" t="str">
        <x:v>Roster ufficiale</x:v>
      </x:c>
      <x:c r="B3" s="61" t="str">
        <x:v>v0.1: Flux, Riva, Bastion, Vektor. v0.2: Steel, Aurora, Murdock, Kwang.</x:v>
      </x:c>
    </x:row>
    <x:row r="4">
      <x:c r="A4" s="60" t="str">
        <x:v>Candidate pool</x:v>
      </x:c>
      <x:c r="B4" s="61" t="str">
        <x:v>34 personaggi Paragon restano candidati senza release assegnata; non fanno parte del roster ufficiale.</x:v>
      </x:c>
    </x:row>
    <x:row r="5">
      <x:c r="A5" s="60" t="str">
        <x:v>Fonte v0.1</x:v>
      </x:c>
      <x:c r="B5" s="61" t="str">
        <x:v>Repository refactor-tactics-main: piano canonico + RT_HeroCatalog_v0.1 + RT_ActionCatalog_v0.1 + RT_EquipmentCatalog_v0.1 + codice RTHeroCatalogLibrary.cpp.</x:v>
      </x:c>
    </x:row>
    <x:row r="6">
      <x:c r="A6" s="60" t="str">
        <x:v>Fonte v0.2</x:v>
      </x:c>
      <x:c r="B6" s="61" t="str">
        <x:v>Valori design della precedente matrice Character Wiki v0.2 per Steel/Aurora/Murdock/Kwang.</x:v>
      </x:c>
    </x:row>
    <x:row r="7">
      <x:c r="A7" s="60" t="str">
        <x:v>Regola dati</x:v>
      </x:c>
      <x:c r="B7" s="61" t="str">
        <x:v>Non inventare valori assenti: i campi non definiti restano vuoti/TBD e sono marcati PARTIAL/BASELINE.</x:v>
      </x:c>
    </x:row>
    <x:row r="8">
      <x:c r="A8" s="60" t="str">
        <x:v>ID</x:v>
      </x:c>
      <x:c r="B8" s="61" t="str">
        <x:v>Per v0.1 si usano gli ID canonici Hero.Flux/Hero.Riva/Hero.Bastion/Hero.Vektor. Gli ID RT definitivi v0.2 restano TBD.</x:v>
      </x:c>
    </x:row>
    <x:row r="9">
      <x:c r="A9" s="60" t="str">
        <x:v>Release governance</x:v>
      </x:c>
      <x:c r="B9" s="61" t="str">
        <x:v>Cambiare release o promuovere un candidato richiede aggiornamento coordinato di Profile, Stats, Mechanics, Abilities, Wiki_Status e Dashboard.</x:v>
      </x:c>
    </x:row>
    <x:row r="10">
      <x:c r="A10" s="60" t="str">
        <x:v>Wiki</x:v>
      </x:c>
      <x:c r="B10" s="61" t="str">
        <x:v>Le pagine ufficiali sono generate solo per gli 8 personaggi del roster; ogni pagina include descrizione della meccanica firma e descrizione/uso tattico di ogni skill.</x:v>
      </x:c>
    </x:row>
    <x:row r="11">
      <x:c r="A11" s="60" t="str">
        <x:v>Versione workbook</x:v>
      </x:c>
      <x:c r="B11" s="61" t="str">
        <x:v>v0.4</x:v>
      </x:c>
    </x:row>
    <x:row r="12">
      <x:c r="A12" s="60" t="str">
        <x:v>Data</x:v>
      </x:c>
      <x:c r="B12" s="61" t="str">
        <x:v>2026-08-08</x:v>
      </x:c>
    </x:row>
    <x:row r="13">
      <x:c r="A13" s="15" t="str">
        <x:v>Campi narrativi</x:v>
      </x:c>
      <x:c r="B13" s="15" t="str">
        <x:v>05_Hero_Mechanics.Descrizione_Wiki + 06_Abilities.Descrizione_Wiki/Uso_Tattico_Wiki. Sono testo editoriale derivato dalle regole/dati, non nuovi valori competitivi.</x:v>
      </x:c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34" hidden="0" customWidth="1"/>
    <x:col min="23" max="23" width="34" hidden="0" customWidth="1"/>
  </x:cols>
  <x:sheetData>
    <x:row r="1" ht="28" customHeight="1">
      <x:c r="A1" s="53" t="str">
        <x:v>Roster ufficiale — 8 personaggi (v0.1 + v0.2)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</x:row>
    <x:row r="3">
      <x:c r="A3" s="63" t="str">
        <x:v>Hero_Key</x:v>
      </x:c>
      <x:c r="B3" s="63" t="str">
        <x:v>Asset_Base</x:v>
      </x:c>
      <x:c r="C3" s="63" t="str">
        <x:v>RT_Character_ID</x:v>
      </x:c>
      <x:c r="D3" s="63" t="str">
        <x:v>Display_Name_RT</x:v>
      </x:c>
      <x:c r="E3" s="63" t="str">
        <x:v>Roster_Status</x:v>
      </x:c>
      <x:c r="F3" s="63" t="str">
        <x:v>ReleaseVersion</x:v>
      </x:c>
      <x:c r="G3" s="63" t="str">
        <x:v>Design_Status</x:v>
      </x:c>
      <x:c r="H3" s="63" t="str">
        <x:v>Ruolo_Primario</x:v>
      </x:c>
      <x:c r="I3" s="63" t="str">
        <x:v>Ruolo_Secondario</x:v>
      </x:c>
      <x:c r="J3" s="63" t="str">
        <x:v>Macro_Ruolo_Signature</x:v>
      </x:c>
      <x:c r="K3" s="63" t="str">
        <x:v>Specializzazione_RT</x:v>
      </x:c>
      <x:c r="L3" s="63" t="str">
        <x:v>Profilo_Range</x:v>
      </x:c>
      <x:c r="M3" s="63" t="str">
        <x:v>Tipo_Danno</x:v>
      </x:c>
      <x:c r="N3" s="63" t="str">
        <x:v>Complessità_Gioco</x:v>
      </x:c>
      <x:c r="O3" s="63" t="str">
        <x:v>Complessità_Tecnica_1_5</x:v>
      </x:c>
      <x:c r="P3" s="63" t="str">
        <x:v>Risorsa_Firma</x:v>
      </x:c>
      <x:c r="Q3" s="63" t="str">
        <x:v>Signature_Primaria</x:v>
      </x:c>
      <x:c r="R3" s="63" t="str">
        <x:v>Signature_Secondaria</x:v>
      </x:c>
      <x:c r="S3" s="63" t="str">
        <x:v>Framework_Principali</x:v>
      </x:c>
      <x:c r="T3" s="63" t="str">
        <x:v>Dipendenze_Tecniche</x:v>
      </x:c>
      <x:c r="U3" s="63" t="str">
        <x:v>Player_Question</x:v>
      </x:c>
      <x:c r="V3" s="63" t="str">
        <x:v>Descrizione_Wiki</x:v>
      </x:c>
      <x:c r="W3" s="63" t="str">
        <x:v>Nota_Bilanciamento</x:v>
      </x:c>
    </x:row>
    <x:row r="4">
      <x:c r="A4" s="65" t="str">
        <x:v>ASSET_FLUX</x:v>
      </x:c>
      <x:c r="B4" s="65" t="str">
        <x:v>Flux</x:v>
      </x:c>
      <x:c r="C4" s="65" t="str">
        <x:v>Hero.Flux</x:v>
      </x:c>
      <x:c r="D4" s="65" t="str">
        <x:v>Flux</x:v>
      </x:c>
      <x:c r="E4" s="65" t="str">
        <x:v>Release v0.1</x:v>
      </x:c>
      <x:c r="F4" s="65" t="str">
        <x:v>v0.1</x:v>
      </x:c>
      <x:c r="G4" s="65" t="str">
        <x:v>IMPLEMENTED</x:v>
      </x:c>
      <x:c r="H4" s="65" t="str">
        <x:v>Controller</x:v>
      </x:c>
      <x:c r="I4" s="65" t="str">
        <x:v>Striker</x:v>
      </x:c>
      <x:c r="J4" s="65" t="str">
        <x:v>Controller</x:v>
      </x:c>
      <x:c r="K4" s="65" t="str">
        <x:v>Electro Conduction Technician</x:v>
      </x:c>
      <x:c r="L4" s="65" t="str">
        <x:v>Medium</x:v>
      </x:c>
      <x:c r="M4" s="65" t="str">
        <x:v>Electric</x:v>
      </x:c>
      <x:c r="N4" s="65" t="str">
        <x:v>TBD</x:v>
      </x:c>
      <x:c r="O4" s="65" t="str">
        <x:v>TBD</x:v>
      </x:c>
      <x:c r="P4" s="65" t="str">
        <x:v>Carica Conduttiva</x:v>
      </x:c>
      <x:c r="Q4" s="65" t="str">
        <x:v>Conduction</x:v>
      </x:c>
      <x:c r="R4" s="65" t="str">
        <x:v>Water-Electric Combo</x:v>
      </x:c>
      <x:c r="S4" s="65" t="str">
        <x:v>Resource, Environment, Status, AoE</x:v>
      </x:c>
      <x:c r="T4" s="65" t="str">
        <x:v>Wet, electric propagation, device interactions</x:v>
      </x:c>
      <x:c r="U4" s="65" t="str">
        <x:v>Come preparo la conduzione migliore?</x:v>
      </x:c>
      <x:c r="V4" s="65" t="str">
        <x:v>Tecnico della conduzione: fragile, controlla il campo e converte setup elettrici e bersagli Wet in pressione offensiva.</x:v>
      </x:c>
      <x:c r="W4" s="65" t="str">
        <x:v>Canonico v0.1. 90 HP, 5 MP, vista 6; bonus +8 di LinearDischarge contro Wet.</x:v>
      </x:c>
    </x:row>
    <x:row r="5">
      <x:c r="A5" s="65" t="str">
        <x:v>ASSET_RIVA</x:v>
      </x:c>
      <x:c r="B5" s="65" t="str">
        <x:v>Riva</x:v>
      </x:c>
      <x:c r="C5" s="65" t="str">
        <x:v>Hero.Riva</x:v>
      </x:c>
      <x:c r="D5" s="65" t="str">
        <x:v>Riva</x:v>
      </x:c>
      <x:c r="E5" s="65" t="str">
        <x:v>Release v0.1</x:v>
      </x:c>
      <x:c r="F5" s="65" t="str">
        <x:v>v0.1</x:v>
      </x:c>
      <x:c r="G5" s="65" t="str">
        <x:v>IMPLEMENTED</x:v>
      </x:c>
      <x:c r="H5" s="65" t="str">
        <x:v>Support</x:v>
      </x:c>
      <x:c r="I5" s="65" t="str">
        <x:v>Controller</x:v>
      </x:c>
      <x:c r="J5" s="65" t="str">
        <x:v>Support</x:v>
      </x:c>
      <x:c r="K5" s="65" t="str">
        <x:v>Water Terrain Manipulator</x:v>
      </x:c>
      <x:c r="L5" s="65" t="str">
        <x:v>Medium</x:v>
      </x:c>
      <x:c r="M5" s="65" t="str">
        <x:v>Water</x:v>
      </x:c>
      <x:c r="N5" s="65" t="str">
        <x:v>TBD</x:v>
      </x:c>
      <x:c r="O5" s="65" t="str">
        <x:v>TBD</x:v>
      </x:c>
      <x:c r="P5" s="65" t="str">
        <x:v>Riserva Idrica</x:v>
      </x:c>
      <x:c r="Q5" s="65" t="str">
        <x:v>Water Shaping</x:v>
      </x:c>
      <x:c r="R5" s="65" t="str">
        <x:v>Wet Setup</x:v>
      </x:c>
      <x:c r="S5" s="65" t="str">
        <x:v>Environment, Support, Movement, Status</x:v>
      </x:c>
      <x:c r="T5" s="65" t="str">
        <x:v>Water, Wet, smoke, reposition</x:v>
      </x:c>
      <x:c r="U5" s="65" t="str">
        <x:v>Dove preparo il terreno per la squadra?</x:v>
      </x:c>
      <x:c r="V5" s="65" t="str">
        <x:v>Support/controller dell'acqua: bagna bersagli, cura, riposiziona e prepara il terreno per le combo di squadra.</x:v>
      </x:c>
      <x:c r="W5" s="65" t="str">
        <x:v>Canonico v0.1. 95 HP, 5 MP, vista 5; valore massimo quando abilita combo e controllo terreno.</x:v>
      </x:c>
    </x:row>
    <x:row r="6">
      <x:c r="A6" s="65" t="str">
        <x:v>ASSET_BASTION</x:v>
      </x:c>
      <x:c r="B6" s="65" t="str">
        <x:v>Bastion</x:v>
      </x:c>
      <x:c r="C6" s="65" t="str">
        <x:v>Hero.Bastion</x:v>
      </x:c>
      <x:c r="D6" s="65" t="str">
        <x:v>Bastion</x:v>
      </x:c>
      <x:c r="E6" s="65" t="str">
        <x:v>Release v0.1</x:v>
      </x:c>
      <x:c r="F6" s="65" t="str">
        <x:v>v0.1</x:v>
      </x:c>
      <x:c r="G6" s="65" t="str">
        <x:v>IMPLEMENTED</x:v>
      </x:c>
      <x:c r="H6" s="65" t="str">
        <x:v>Guardian</x:v>
      </x:c>
      <x:c r="I6" s="65" t="str">
        <x:v>Controller</x:v>
      </x:c>
      <x:c r="J6" s="65" t="str">
        <x:v>Guardian</x:v>
      </x:c>
      <x:c r="K6" s="65" t="str">
        <x:v>Field Architect</x:v>
      </x:c>
      <x:c r="L6" s="65" t="str">
        <x:v>Short</x:v>
      </x:c>
      <x:c r="M6" s="65" t="str">
        <x:v>Kinetic</x:v>
      </x:c>
      <x:c r="N6" s="65" t="str">
        <x:v>TBD</x:v>
      </x:c>
      <x:c r="O6" s="65" t="str">
        <x:v>TBD</x:v>
      </x:c>
      <x:c r="P6" s="65" t="str">
        <x:v>Integrità Strutturale</x:v>
      </x:c>
      <x:c r="Q6" s="65" t="str">
        <x:v>Field Architecture</x:v>
      </x:c>
      <x:c r="R6" s="65" t="str">
        <x:v>Ally Interposition</x:v>
      </x:c>
      <x:c r="S6" s="65" t="str">
        <x:v>Structures, Cover, Reaction, Displacement</x:v>
      </x:c>
      <x:c r="T6" s="65" t="str">
        <x:v>Cover, structures, arc manipulation, intercept</x:v>
      </x:c>
      <x:c r="U6" s="65" t="str">
        <x:v>Quale spazio chiudo e chi proteggo?</x:v>
      </x:c>
      <x:c r="V6" s="65" t="str">
        <x:v>Guardian/architetto del campo: crea e riconfigura coperture, controlla gli spazi e si interpone per gli alleati.</x:v>
      </x:c>
      <x:c r="W6" s="65" t="str">
        <x:v>Canonico v0.1. 120 HP, 4 MP, vista 5, Push Resistance 1: compra stabilità con mobilità ridotta.</x:v>
      </x:c>
    </x:row>
    <x:row r="7">
      <x:c r="A7" s="65" t="str">
        <x:v>ASSET_VEKTOR</x:v>
      </x:c>
      <x:c r="B7" s="65" t="str">
        <x:v>Vektor</x:v>
      </x:c>
      <x:c r="C7" s="65" t="str">
        <x:v>Hero.Vektor</x:v>
      </x:c>
      <x:c r="D7" s="65" t="str">
        <x:v>Vektor</x:v>
      </x:c>
      <x:c r="E7" s="65" t="str">
        <x:v>Release v0.1</x:v>
      </x:c>
      <x:c r="F7" s="65" t="str">
        <x:v>v0.1</x:v>
      </x:c>
      <x:c r="G7" s="65" t="str">
        <x:v>IMPLEMENTED</x:v>
      </x:c>
      <x:c r="H7" s="65" t="str">
        <x:v>Striker</x:v>
      </x:c>
      <x:c r="I7" s="65" t="str">
        <x:v>Controller</x:v>
      </x:c>
      <x:c r="J7" s="65" t="str">
        <x:v>Striker</x:v>
      </x:c>
      <x:c r="K7" s="65" t="str">
        <x:v>Predictive Duelist</x:v>
      </x:c>
      <x:c r="L7" s="65" t="str">
        <x:v>Medium</x:v>
      </x:c>
      <x:c r="M7" s="65" t="str">
        <x:v>Kinetic</x:v>
      </x:c>
      <x:c r="N7" s="65" t="str">
        <x:v>TBD</x:v>
      </x:c>
      <x:c r="O7" s="65" t="str">
        <x:v>TBD</x:v>
      </x:c>
      <x:c r="P7" s="65" t="str">
        <x:v>Slancio</x:v>
      </x:c>
      <x:c r="Q7" s="65" t="str">
        <x:v>Predictive Interception</x:v>
      </x:c>
      <x:c r="R7" s="65" t="str">
        <x:v>Movement Punish</x:v>
      </x:c>
      <x:c r="S7" s="65" t="str">
        <x:v>Movement, Reaction, Prediction, Control</x:v>
      </x:c>
      <x:c r="T7" s="65" t="str">
        <x:v>Movement triggers, facing, reaction boundaries</x:v>
      </x:c>
      <x:c r="U7" s="65" t="str">
        <x:v>Dove passerà il nemico?</x:v>
      </x:c>
      <x:c r="V7" s="65" t="str">
        <x:v>Duellante predittivo: il più mobile del roster, punisce traiettorie e movimento con dash, intercetti e deviazioni.</x:v>
      </x:c>
      <x:c r="W7" s="65" t="str">
        <x:v>Canonico v0.1. 100 HP, 6 MP, vista 6; mobilità alta in cambio di minori strumenti difensivi.</x:v>
      </x:c>
    </x:row>
    <x:row r="8">
      <x:c r="A8" s="65" t="str">
        <x:v>ASSET_STEEL</x:v>
      </x:c>
      <x:c r="B8" s="65" t="str">
        <x:v>Steel</x:v>
      </x:c>
      <x:c r="C8" s="65" t="str">
        <x:v>TBD</x:v>
      </x:c>
      <x:c r="D8" s="65" t="str">
        <x:v>TBD</x:v>
      </x:c>
      <x:c r="E8" s="65" t="str">
        <x:v>Release v0.2</x:v>
      </x:c>
      <x:c r="F8" s="65" t="str">
        <x:v>v0.2</x:v>
      </x:c>
      <x:c r="G8" s="65" t="str">
        <x:v>DATA_SPEC</x:v>
      </x:c>
      <x:c r="H8" s="65" t="str">
        <x:v>Guardian</x:v>
      </x:c>
      <x:c r="I8" s="65" t="str">
        <x:v>Controller</x:v>
      </x:c>
      <x:c r="J8" s="65" t="str">
        <x:v>Guardian / Vanguard</x:v>
      </x:c>
      <x:c r="K8" s="65" t="str">
        <x:v>Shield Interposer</x:v>
      </x:c>
      <x:c r="L8" s="65" t="str">
        <x:v>Short</x:v>
      </x:c>
      <x:c r="M8" s="65" t="str">
        <x:v>Kinetic</x:v>
      </x:c>
      <x:c r="N8" s="65" t="str">
        <x:v>Medium</x:v>
      </x:c>
      <x:c r="O8" s="65" t="n">
        <x:v>3</x:v>
      </x:c>
      <x:c r="P8" s="65" t="str">
        <x:v>Integrità Scudo</x:v>
      </x:c>
      <x:c r="Q8" s="65" t="str">
        <x:v>Guard Meter</x:v>
      </x:c>
      <x:c r="R8" s="65" t="str">
        <x:v>Interposition</x:v>
      </x:c>
      <x:c r="S8" s="65" t="str">
        <x:v>Resource, Reaction, Link</x:v>
      </x:c>
      <x:c r="T8" s="65" t="str">
        <x:v>Reaction, cover, ally protection, displacement</x:v>
      </x:c>
      <x:c r="U8" s="65" t="str">
        <x:v>Chi proteggo e quando intervengo?</x:v>
      </x:c>
      <x:c r="V8" s="65" t="str">
        <x:v>Difensore frontale e controller che protegge gli alleati attraverso interposizione, coperture direzionali e reazioni. La sua identità ruota attorno alla scelta di chi proteggere e al momento in cui impegnare lo scudo.</x:v>
      </x:c>
      <x:c r="W8" s="65" t="str">
        <x:v>Roster v0.2: design numerico disponibile; non sostituisce i quattro eroi canonici v0.1.</x:v>
      </x:c>
    </x:row>
    <x:row r="9">
      <x:c r="A9" s="65" t="str">
        <x:v>ASSET_AURORA</x:v>
      </x:c>
      <x:c r="B9" s="65" t="str">
        <x:v>Aurora</x:v>
      </x:c>
      <x:c r="C9" s="65" t="str">
        <x:v>TBD</x:v>
      </x:c>
      <x:c r="D9" s="65" t="str">
        <x:v>TBD</x:v>
      </x:c>
      <x:c r="E9" s="65" t="str">
        <x:v>Release v0.2</x:v>
      </x:c>
      <x:c r="F9" s="65" t="str">
        <x:v>v0.2</x:v>
      </x:c>
      <x:c r="G9" s="65" t="str">
        <x:v>DATA_SPEC</x:v>
      </x:c>
      <x:c r="H9" s="65" t="str">
        <x:v>Controller</x:v>
      </x:c>
      <x:c r="I9" s="65" t="str">
        <x:v>Striker</x:v>
      </x:c>
      <x:c r="J9" s="65" t="str">
        <x:v>Controller</x:v>
      </x:c>
      <x:c r="K9" s="65" t="str">
        <x:v>Cryo Terrain Shaper</x:v>
      </x:c>
      <x:c r="L9" s="65" t="str">
        <x:v>Medium</x:v>
      </x:c>
      <x:c r="M9" s="65" t="str">
        <x:v>Cold</x:v>
      </x:c>
      <x:c r="N9" s="65" t="str">
        <x:v>High</x:v>
      </x:c>
      <x:c r="O9" s="65" t="n">
        <x:v>4</x:v>
      </x:c>
      <x:c r="P9" s="65" t="str">
        <x:v>Cariche Termiche</x:v>
      </x:c>
      <x:c r="Q9" s="65" t="str">
        <x:v>Frozen Domain</x:v>
      </x:c>
      <x:c r="R9" s="65" t="str">
        <x:v>Ice paths</x:v>
      </x:c>
      <x:c r="S9" s="65" t="str">
        <x:v>Territory, Environment, Movement</x:v>
      </x:c>
      <x:c r="T9" s="65" t="str">
        <x:v>Dynamic terrain, ice, LOS, movement costs</x:v>
      </x:c>
      <x:c r="U9" s="65" t="str">
        <x:v>Quale parte della mappa trasformo?</x:v>
      </x:c>
      <x:c r="V9" s="65" t="str">
        <x:v>Controller del terreno che trasforma il campo di battaglia tramite ghiaccio, ostacoli e fumo freddo. Il suo valore cresce quando riesce a costruire un Frozen Domain che modifica movimento, linee e opzioni tattiche.</x:v>
      </x:c>
      <x:c r="W9" s="65" t="str">
        <x:v>Roster v0.2: design numerico disponibile; non sostituisce i quattro eroi canonici v0.1.</x:v>
      </x:c>
    </x:row>
    <x:row r="10">
      <x:c r="A10" s="65" t="str">
        <x:v>ASSET_MURDOCK</x:v>
      </x:c>
      <x:c r="B10" s="65" t="str">
        <x:v>Murdock</x:v>
      </x:c>
      <x:c r="C10" s="65" t="str">
        <x:v>TBD</x:v>
      </x:c>
      <x:c r="D10" s="65" t="str">
        <x:v>TBD</x:v>
      </x:c>
      <x:c r="E10" s="65" t="str">
        <x:v>Release v0.2</x:v>
      </x:c>
      <x:c r="F10" s="65" t="str">
        <x:v>v0.2</x:v>
      </x:c>
      <x:c r="G10" s="65" t="str">
        <x:v>DATA_SPEC</x:v>
      </x:c>
      <x:c r="H10" s="65" t="str">
        <x:v>Marksman</x:v>
      </x:c>
      <x:c r="I10" s="65" t="str">
        <x:v>Controller</x:v>
      </x:c>
      <x:c r="J10" s="65" t="str">
        <x:v>Marksman</x:v>
      </x:c>
      <x:c r="K10" s="65" t="str">
        <x:v>Suppressive Sentinel</x:v>
      </x:c>
      <x:c r="L10" s="65" t="str">
        <x:v>Long</x:v>
      </x:c>
      <x:c r="M10" s="65" t="str">
        <x:v>Kinetic</x:v>
      </x:c>
      <x:c r="N10" s="65" t="str">
        <x:v>Medium</x:v>
      </x:c>
      <x:c r="O10" s="65" t="n">
        <x:v>3</x:v>
      </x:c>
      <x:c r="P10" s="65" t="str">
        <x:v>Munizioni Speciali</x:v>
      </x:c>
      <x:c r="Q10" s="65" t="str">
        <x:v>Focus + Fire Sector</x:v>
      </x:c>
      <x:c r="R10" s="65" t="str">
        <x:v>Patient Overwatch</x:v>
      </x:c>
      <x:c r="S10" s="65" t="str">
        <x:v>Resource, Reaction, Facing</x:v>
      </x:c>
      <x:c r="T10" s="65" t="str">
        <x:v>Facing, LOS, Overwatch, cover</x:v>
      </x:c>
      <x:c r="U10" s="65" t="str">
        <x:v>Quale settore voglio dominare?</x:v>
      </x:c>
      <x:c r="V10" s="65" t="str">
        <x:v>Marksman di controllo che domina linee di tiro e settori attraverso Focus, Overwatch, sensori e fuoco di soppressione. Premia disciplina di posizione, facing e lettura dei corridoi.</x:v>
      </x:c>
      <x:c r="W10" s="65" t="str">
        <x:v>Roster v0.2: design numerico disponibile; non sostituisce i quattro eroi canonici v0.1.</x:v>
      </x:c>
    </x:row>
    <x:row r="11">
      <x:c r="A11" s="65" t="str">
        <x:v>ASSET_KWANG</x:v>
      </x:c>
      <x:c r="B11" s="65" t="str">
        <x:v>Kwang</x:v>
      </x:c>
      <x:c r="C11" s="65" t="str">
        <x:v>TBD</x:v>
      </x:c>
      <x:c r="D11" s="65" t="str">
        <x:v>TBD</x:v>
      </x:c>
      <x:c r="E11" s="65" t="str">
        <x:v>Release v0.2</x:v>
      </x:c>
      <x:c r="F11" s="65" t="str">
        <x:v>v0.2</x:v>
      </x:c>
      <x:c r="G11" s="65" t="str">
        <x:v>DATA_SPEC</x:v>
      </x:c>
      <x:c r="H11" s="65" t="str">
        <x:v>Bruiser</x:v>
      </x:c>
      <x:c r="I11" s="65" t="str">
        <x:v>Controller</x:v>
      </x:c>
      <x:c r="J11" s="65" t="str">
        <x:v>Fighter / Controller</x:v>
      </x:c>
      <x:c r="K11" s="65" t="str">
        <x:v>Electro Duelist</x:v>
      </x:c>
      <x:c r="L11" s="65" t="str">
        <x:v>Melee</x:v>
      </x:c>
      <x:c r="M11" s="65" t="str">
        <x:v>Electric</x:v>
      </x:c>
      <x:c r="N11" s="65" t="str">
        <x:v>High</x:v>
      </x:c>
      <x:c r="O11" s="65" t="n">
        <x:v>4</x:v>
      </x:c>
      <x:c r="P11" s="65" t="str">
        <x:v>Carica Tempesta</x:v>
      </x:c>
      <x:c r="Q11" s="65" t="str">
        <x:v>Electric Anchor</x:v>
      </x:c>
      <x:c r="R11" s="65" t="str">
        <x:v>Conductive link</x:v>
      </x:c>
      <x:c r="S11" s="65" t="str">
        <x:v>PersistentEntity, Link, Environment</x:v>
      </x:c>
      <x:c r="T11" s="65" t="str">
        <x:v>Persistent object, electricity, water, geometry</x:v>
      </x:c>
      <x:c r="U11" s="65" t="str">
        <x:v>Dove piazzo il mio punto di potere?</x:v>
      </x:c>
      <x:c r="V11" s="65" t="str">
        <x:v>Duellante/controller elettrico che usa una spada-ancora persistente come punto di potere. L'Anchor modifica geometria, conduzione, ritorni e minaccia territoriale, soprattutto in combinazione con acqua e metallo.</x:v>
      </x:c>
      <x:c r="W11" s="65" t="str">
        <x:v>Roster v0.2: design numerico disponibile; non sostituisce i quattro eroi canonici v0.1.</x:v>
      </x:c>
    </x:row>
    <x:row r="12">
      <x:c r="A12" s="31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3"/>
    </x:row>
    <x:row r="13">
      <x:c r="A13" s="31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3"/>
    </x:row>
    <x:row r="14">
      <x:c r="A14" s="31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3"/>
    </x:row>
    <x:row r="15">
      <x:c r="A15" s="31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3"/>
    </x:row>
    <x:row r="16">
      <x:c r="A16" s="31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3"/>
    </x:row>
    <x:row r="17">
      <x:c r="A17" s="31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3"/>
    </x:row>
    <x:row r="18">
      <x:c r="A18" s="31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3"/>
    </x:row>
    <x:row r="19">
      <x:c r="A19" s="31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3"/>
    </x:row>
    <x:row r="20">
      <x:c r="A20" s="31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3"/>
    </x:row>
    <x:row r="21">
      <x:c r="A21" s="31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3"/>
    </x:row>
    <x:row r="22">
      <x:c r="A22" s="31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3"/>
    </x:row>
    <x:row r="23">
      <x:c r="A23" s="31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3"/>
    </x:row>
    <x:row r="24">
      <x:c r="A24" s="31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3"/>
    </x:row>
    <x:row r="25">
      <x:c r="A25" s="31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3"/>
    </x:row>
    <x:row r="26">
      <x:c r="A26" s="31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3"/>
    </x:row>
    <x:row r="27">
      <x:c r="A27" s="31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3"/>
    </x:row>
    <x:row r="28">
      <x:c r="A28" s="31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3"/>
    </x:row>
    <x:row r="29">
      <x:c r="A29" s="31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3"/>
    </x:row>
    <x:row r="30">
      <x:c r="A30" s="31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3"/>
    </x:row>
    <x:row r="31">
      <x:c r="A31" s="31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32"/>
      <x:c r="U31" s="32"/>
      <x:c r="V31" s="32"/>
      <x:c r="W31" s="33"/>
    </x:row>
    <x:row r="32">
      <x:c r="A32" s="31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3"/>
    </x:row>
    <x:row r="33">
      <x:c r="A33" s="31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32"/>
      <x:c r="U33" s="32"/>
      <x:c r="V33" s="32"/>
      <x:c r="W33" s="33"/>
    </x:row>
    <x:row r="34">
      <x:c r="A34" s="31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32"/>
      <x:c r="U34" s="32"/>
      <x:c r="V34" s="32"/>
      <x:c r="W34" s="33"/>
    </x:row>
    <x:row r="35">
      <x:c r="A35" s="31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32"/>
      <x:c r="U35" s="32"/>
      <x:c r="V35" s="32"/>
      <x:c r="W35" s="33"/>
    </x:row>
    <x:row r="36">
      <x:c r="A36" s="31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32"/>
      <x:c r="U36" s="32"/>
      <x:c r="V36" s="32"/>
      <x:c r="W36" s="33"/>
    </x:row>
    <x:row r="37">
      <x:c r="A37" s="31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32"/>
      <x:c r="U37" s="32"/>
      <x:c r="V37" s="32"/>
      <x:c r="W37" s="33"/>
    </x:row>
    <x:row r="38">
      <x:c r="A38" s="31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32"/>
      <x:c r="U38" s="32"/>
      <x:c r="V38" s="32"/>
      <x:c r="W38" s="33"/>
    </x:row>
    <x:row r="39">
      <x:c r="A39" s="31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32"/>
      <x:c r="U39" s="32"/>
      <x:c r="V39" s="32"/>
      <x:c r="W39" s="33"/>
    </x:row>
    <x:row r="40">
      <x:c r="A40" s="31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32"/>
      <x:c r="U40" s="32"/>
      <x:c r="V40" s="32"/>
      <x:c r="W40" s="33"/>
    </x:row>
    <x:row r="41">
      <x:c r="A41" s="34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6"/>
    </x:row>
  </x:sheetData>
  <x:mergeCells>
    <x:mergeCell ref="A1:W1"/>
  </x:mergeCells>
  <x:conditionalFormatting sqref="G4:G41">
    <x:cfRule type="expression" dxfId="0" priority="1">
      <x:formula>G4="DATA_SPEC"</x:formula>
    </x:cfRule>
    <x:cfRule type="expression" dxfId="1" priority="2">
      <x:formula>G4="SIGNATURE_DEFINED"</x:formula>
    </x:cfRule>
  </x:conditionalFormatting>
  <x:conditionalFormatting sqref="F4:F11">
    <x:cfRule type="expression" dxfId="2" priority="3">
      <x:formula>F4="v0.1"</x:formula>
    </x:cfRule>
    <x:cfRule type="expression" dxfId="3" priority="4">
      <x:formula>F4="v0.2"</x:formula>
    </x:cfRule>
  </x:conditionalFormatting>
  <x:dataValidations count="4">
    <x:dataValidation type="list" sqref="E4:E41">
      <x:formula1>"Vertical Slice,Candidate,Asset-only"</x:formula1>
    </x:dataValidation>
    <x:dataValidation type="list" sqref="G4:G41">
      <x:formula1>"SIGNATURE_DEFINED,KIT_DRAFT,DATA_SPEC,IMPLEMENTATION_READY,IMPLEMENTED,AUTOMATED_TESTED,PLAYTEST,RELEASE_READY"</x:formula1>
    </x:dataValidation>
    <x:dataValidation type="list" sqref="F4:F11">
      <x:formula1>"v0.1,v0.2"</x:formula1>
    </x:dataValidation>
    <x:dataValidation type="list" sqref="G4:G11">
      <x:formula1>"IMPLEMENTED,IMPLEMENTED_PARTIAL,DATA_SPEC,KIT_DRAFT"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52" hidden="0" customWidth="1"/>
  </x:cols>
  <x:sheetData>
    <x:row r="1" ht="28" customHeight="1">
      <x:c r="A1" s="53" t="str">
        <x:v>Statistiche roster ufficiale — valori canonici o source values; nessun riempimento inventato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 s="63" t="str">
        <x:v>Hero_Key</x:v>
      </x:c>
      <x:c r="B3" s="63" t="str">
        <x:v>Hero</x:v>
      </x:c>
      <x:c r="C3" s="63" t="str">
        <x:v>Ruolo</x:v>
      </x:c>
      <x:c r="D3" s="63" t="str">
        <x:v>HP</x:v>
      </x:c>
      <x:c r="E3" s="63" t="str">
        <x:v>Armatura</x:v>
      </x:c>
      <x:c r="F3" s="63" t="str">
        <x:v>Resistenza</x:v>
      </x:c>
      <x:c r="G3" s="63" t="str">
        <x:v>Movimento_Base</x:v>
      </x:c>
      <x:c r="H3" s="63" t="str">
        <x:v>Iniziativa</x:v>
      </x:c>
      <x:c r="I3" s="63" t="str">
        <x:v>Precisione_1_10</x:v>
      </x:c>
      <x:c r="J3" s="63" t="str">
        <x:v>Potenza_1_10</x:v>
      </x:c>
      <x:c r="K3" s="63" t="str">
        <x:v>Controllo_1_10</x:v>
      </x:c>
      <x:c r="L3" s="63" t="str">
        <x:v>Supporto_1_10</x:v>
      </x:c>
      <x:c r="M3" s="63" t="str">
        <x:v>Durabilità_1_10</x:v>
      </x:c>
      <x:c r="N3" s="63" t="str">
        <x:v>Indice_Combat</x:v>
      </x:c>
      <x:c r="O3" s="63" t="str">
        <x:v>Budget_Punti</x:v>
      </x:c>
      <x:c r="P3" s="63" t="str">
        <x:v>Delta_Budget</x:v>
      </x:c>
      <x:c r="Q3" s="58" t="str">
        <x:v>Data_Status</x:v>
      </x:c>
      <x:c r="R3" s="58" t="str">
        <x:v>Source_Note</x:v>
      </x:c>
    </x:row>
    <x:row r="4">
      <x:c r="A4" s="65" t="str">
        <x:v>ASSET_FLUX</x:v>
      </x:c>
      <x:c r="B4" s="65" t="str">
        <x:v>Flux</x:v>
      </x:c>
      <x:c r="C4" s="65" t="str">
        <x:v>Controller</x:v>
      </x:c>
      <x:c r="D4" s="65" t="n">
        <x:v>90</x:v>
      </x:c>
      <x:c r="E4" s="65"/>
      <x:c r="F4" s="65"/>
      <x:c r="G4" s="65" t="n">
        <x:v>5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1" t="str">
        <x:v>CANONICAL_PARTIAL</x:v>
      </x:c>
      <x:c r="R4" s="61" t="str">
        <x:v>Canonico: HP 90, Move 5. Altri attributi di questa matrice non sono definiti nel catalogo v0.1.</x:v>
      </x:c>
    </x:row>
    <x:row r="5">
      <x:c r="A5" s="65" t="str">
        <x:v>ASSET_RIVA</x:v>
      </x:c>
      <x:c r="B5" s="65" t="str">
        <x:v>Riva</x:v>
      </x:c>
      <x:c r="C5" s="65" t="str">
        <x:v>Support</x:v>
      </x:c>
      <x:c r="D5" s="65" t="n">
        <x:v>95</x:v>
      </x:c>
      <x:c r="E5" s="65"/>
      <x:c r="F5" s="65"/>
      <x:c r="G5" s="65" t="n">
        <x:v>5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1" t="str">
        <x:v>CANONICAL_PARTIAL</x:v>
      </x:c>
      <x:c r="R5" s="61" t="str">
        <x:v>Canonico: HP 95, Move 5. Altri attributi di questa matrice non sono definiti nel catalogo v0.1.</x:v>
      </x:c>
    </x:row>
    <x:row r="6">
      <x:c r="A6" s="65" t="str">
        <x:v>ASSET_BASTION</x:v>
      </x:c>
      <x:c r="B6" s="65" t="str">
        <x:v>Bastion</x:v>
      </x:c>
      <x:c r="C6" s="65" t="str">
        <x:v>Guardian</x:v>
      </x:c>
      <x:c r="D6" s="65" t="n">
        <x:v>120</x:v>
      </x:c>
      <x:c r="E6" s="65"/>
      <x:c r="F6" s="65"/>
      <x:c r="G6" s="65" t="n">
        <x:v>4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1" t="str">
        <x:v>CANONICAL_PARTIAL</x:v>
      </x:c>
      <x:c r="R6" s="61" t="str">
        <x:v>Canonico: HP 120, Move 4. Altri attributi di questa matrice non sono definiti nel catalogo v0.1.</x:v>
      </x:c>
    </x:row>
    <x:row r="7">
      <x:c r="A7" s="65" t="str">
        <x:v>ASSET_VEKTOR</x:v>
      </x:c>
      <x:c r="B7" s="65" t="str">
        <x:v>Vektor</x:v>
      </x:c>
      <x:c r="C7" s="65" t="str">
        <x:v>Striker</x:v>
      </x:c>
      <x:c r="D7" s="65" t="n">
        <x:v>100</x:v>
      </x:c>
      <x:c r="E7" s="65"/>
      <x:c r="F7" s="65"/>
      <x:c r="G7" s="65" t="n">
        <x:v>6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1" t="str">
        <x:v>CANONICAL_PARTIAL</x:v>
      </x:c>
      <x:c r="R7" s="61" t="str">
        <x:v>Canonico: HP 100, Move 6. Altri attributi di questa matrice non sono definiti nel catalogo v0.1.</x:v>
      </x:c>
    </x:row>
    <x:row r="8">
      <x:c r="A8" s="65" t="str">
        <x:v>ASSET_STEEL</x:v>
      </x:c>
      <x:c r="B8" s="65" t="str">
        <x:v>Steel</x:v>
      </x:c>
      <x:c r="C8" s="65" t="str">
        <x:v>Guardian</x:v>
      </x:c>
      <x:c r="D8" s="65" t="n">
        <x:v>1150</x:v>
      </x:c>
      <x:c r="E8" s="65" t="n">
        <x:v>38</x:v>
      </x:c>
      <x:c r="F8" s="65" t="n">
        <x:v>28</x:v>
      </x:c>
      <x:c r="G8" s="65" t="n">
        <x:v>4</x:v>
      </x:c>
      <x:c r="H8" s="65" t="n">
        <x:v>4</x:v>
      </x:c>
      <x:c r="I8" s="65" t="n">
        <x:v>6</x:v>
      </x:c>
      <x:c r="J8" s="65" t="n">
        <x:v>5</x:v>
      </x:c>
      <x:c r="K8" s="65" t="n">
        <x:v>9</x:v>
      </x:c>
      <x:c r="L8" s="65" t="n">
        <x:v>8</x:v>
      </x:c>
      <x:c r="M8" s="65" t="n">
        <x:v>10</x:v>
      </x:c>
      <x:c r="N8" s="65" t="n">
        <x:v>60.2</x:v>
      </x:c>
      <x:c r="O8" s="65" t="n">
        <x:v>62</x:v>
      </x:c>
      <x:c r="P8" s="65" t="n">
        <x:v>-1.8</x:v>
      </x:c>
      <x:c r="Q8" s="61" t="str">
        <x:v>SOURCE_VALUE</x:v>
      </x:c>
      <x:c r="R8" s="61" t="str">
        <x:v>Valori design v0.2 ereditati dalla matrice precedente.</x:v>
      </x:c>
    </x:row>
    <x:row r="9">
      <x:c r="A9" s="65" t="str">
        <x:v>ASSET_AURORA</x:v>
      </x:c>
      <x:c r="B9" s="65" t="str">
        <x:v>Aurora</x:v>
      </x:c>
      <x:c r="C9" s="65" t="str">
        <x:v>Controller</x:v>
      </x:c>
      <x:c r="D9" s="65" t="n">
        <x:v>780</x:v>
      </x:c>
      <x:c r="E9" s="65" t="n">
        <x:v>18</x:v>
      </x:c>
      <x:c r="F9" s="65" t="n">
        <x:v>24</x:v>
      </x:c>
      <x:c r="G9" s="65" t="n">
        <x:v>6</x:v>
      </x:c>
      <x:c r="H9" s="65" t="n">
        <x:v>6</x:v>
      </x:c>
      <x:c r="I9" s="65" t="n">
        <x:v>7</x:v>
      </x:c>
      <x:c r="J9" s="65" t="n">
        <x:v>6</x:v>
      </x:c>
      <x:c r="K9" s="65" t="n">
        <x:v>10</x:v>
      </x:c>
      <x:c r="L9" s="65" t="n">
        <x:v>6</x:v>
      </x:c>
      <x:c r="M9" s="65" t="n">
        <x:v>5</x:v>
      </x:c>
      <x:c r="N9" s="65" t="n">
        <x:v>53</x:v>
      </x:c>
      <x:c r="O9" s="65" t="n">
        <x:v>62</x:v>
      </x:c>
      <x:c r="P9" s="65" t="n">
        <x:v>-9</x:v>
      </x:c>
      <x:c r="Q9" s="61" t="str">
        <x:v>SOURCE_VALUE</x:v>
      </x:c>
      <x:c r="R9" s="61" t="str">
        <x:v>Valori design v0.2 ereditati dalla matrice precedente.</x:v>
      </x:c>
    </x:row>
    <x:row r="10">
      <x:c r="A10" s="65" t="str">
        <x:v>ASSET_MURDOCK</x:v>
      </x:c>
      <x:c r="B10" s="65" t="str">
        <x:v>Murdock</x:v>
      </x:c>
      <x:c r="C10" s="65" t="str">
        <x:v>Marksman</x:v>
      </x:c>
      <x:c r="D10" s="65" t="n">
        <x:v>700</x:v>
      </x:c>
      <x:c r="E10" s="65" t="n">
        <x:v>13</x:v>
      </x:c>
      <x:c r="F10" s="65" t="n">
        <x:v>18</x:v>
      </x:c>
      <x:c r="G10" s="65" t="n">
        <x:v>5</x:v>
      </x:c>
      <x:c r="H10" s="65" t="n">
        <x:v>7</x:v>
      </x:c>
      <x:c r="I10" s="65" t="n">
        <x:v>10</x:v>
      </x:c>
      <x:c r="J10" s="65" t="n">
        <x:v>8</x:v>
      </x:c>
      <x:c r="K10" s="65" t="n">
        <x:v>5</x:v>
      </x:c>
      <x:c r="L10" s="65" t="n">
        <x:v>3</x:v>
      </x:c>
      <x:c r="M10" s="65" t="n">
        <x:v>3</x:v>
      </x:c>
      <x:c r="N10" s="65" t="n">
        <x:v>46.7</x:v>
      </x:c>
      <x:c r="O10" s="65" t="n">
        <x:v>62</x:v>
      </x:c>
      <x:c r="P10" s="65" t="n">
        <x:v>-15.3</x:v>
      </x:c>
      <x:c r="Q10" s="61" t="str">
        <x:v>SOURCE_VALUE</x:v>
      </x:c>
      <x:c r="R10" s="61" t="str">
        <x:v>Valori design v0.2 ereditati dalla matrice precedente.</x:v>
      </x:c>
    </x:row>
    <x:row r="11">
      <x:c r="A11" s="65" t="str">
        <x:v>ASSET_KWANG</x:v>
      </x:c>
      <x:c r="B11" s="65" t="str">
        <x:v>Kwang</x:v>
      </x:c>
      <x:c r="C11" s="65" t="str">
        <x:v>Bruiser</x:v>
      </x:c>
      <x:c r="D11" s="65" t="n">
        <x:v>900</x:v>
      </x:c>
      <x:c r="E11" s="65" t="n">
        <x:v>26</x:v>
      </x:c>
      <x:c r="F11" s="65" t="n">
        <x:v>20</x:v>
      </x:c>
      <x:c r="G11" s="65" t="n">
        <x:v>6</x:v>
      </x:c>
      <x:c r="H11" s="65" t="n">
        <x:v>6</x:v>
      </x:c>
      <x:c r="I11" s="65" t="n">
        <x:v>7</x:v>
      </x:c>
      <x:c r="J11" s="65" t="n">
        <x:v>8</x:v>
      </x:c>
      <x:c r="K11" s="65" t="n">
        <x:v>8</x:v>
      </x:c>
      <x:c r="L11" s="65" t="n">
        <x:v>3</x:v>
      </x:c>
      <x:c r="M11" s="65" t="n">
        <x:v>7</x:v>
      </x:c>
      <x:c r="N11" s="65" t="n">
        <x:v>54.8</x:v>
      </x:c>
      <x:c r="O11" s="65" t="n">
        <x:v>62</x:v>
      </x:c>
      <x:c r="P11" s="65" t="n">
        <x:v>-7.2</x:v>
      </x:c>
      <x:c r="Q11" s="61" t="str">
        <x:v>SOURCE_VALUE</x:v>
      </x:c>
      <x:c r="R11" s="61" t="str">
        <x:v>Valori design v0.2 ereditati dalla matrice precedente.</x:v>
      </x:c>
    </x:row>
    <x:row r="12">
      <x:c r="A12" s="31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3"/>
      <x:c r="Q12"/>
      <x:c r="R12"/>
    </x:row>
    <x:row r="13">
      <x:c r="A13" s="31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3"/>
      <x:c r="Q13"/>
      <x:c r="R13"/>
    </x:row>
    <x:row r="14">
      <x:c r="A14" s="31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3"/>
      <x:c r="Q14"/>
      <x:c r="R14"/>
    </x:row>
    <x:row r="15">
      <x:c r="A15" s="31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3"/>
      <x:c r="Q15"/>
      <x:c r="R15"/>
    </x:row>
    <x:row r="16">
      <x:c r="A16" s="31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3"/>
      <x:c r="Q16"/>
      <x:c r="R16"/>
    </x:row>
    <x:row r="17">
      <x:c r="A17" s="31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3"/>
      <x:c r="Q17"/>
      <x:c r="R17"/>
    </x:row>
    <x:row r="18">
      <x:c r="A18" s="31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3"/>
      <x:c r="Q18"/>
      <x:c r="R18"/>
    </x:row>
    <x:row r="19">
      <x:c r="A19" s="31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3"/>
      <x:c r="Q19"/>
      <x:c r="R19"/>
    </x:row>
    <x:row r="20">
      <x:c r="A20" s="31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3"/>
      <x:c r="Q20"/>
      <x:c r="R20"/>
    </x:row>
    <x:row r="21">
      <x:c r="A21" s="31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3"/>
      <x:c r="Q21"/>
      <x:c r="R21"/>
    </x:row>
    <x:row r="22">
      <x:c r="A22" s="31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3"/>
      <x:c r="Q22"/>
      <x:c r="R22"/>
    </x:row>
    <x:row r="23">
      <x:c r="A23" s="31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3"/>
      <x:c r="Q23"/>
      <x:c r="R23"/>
    </x:row>
    <x:row r="24">
      <x:c r="A24" s="31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3"/>
      <x:c r="Q24"/>
      <x:c r="R24"/>
    </x:row>
    <x:row r="25">
      <x:c r="A25" s="31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3"/>
      <x:c r="Q25"/>
      <x:c r="R25"/>
    </x:row>
    <x:row r="26">
      <x:c r="A26" s="31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3"/>
      <x:c r="Q26"/>
      <x:c r="R26"/>
    </x:row>
    <x:row r="27">
      <x:c r="A27" s="31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3"/>
      <x:c r="Q27"/>
      <x:c r="R27"/>
    </x:row>
    <x:row r="28">
      <x:c r="A28" s="31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3"/>
      <x:c r="Q28"/>
      <x:c r="R28"/>
    </x:row>
    <x:row r="29">
      <x:c r="A29" s="31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3"/>
      <x:c r="Q29"/>
      <x:c r="R29"/>
    </x:row>
    <x:row r="30">
      <x:c r="A30" s="31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3"/>
      <x:c r="Q30"/>
      <x:c r="R30"/>
    </x:row>
    <x:row r="31">
      <x:c r="A31" s="31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3"/>
      <x:c r="Q31"/>
      <x:c r="R31"/>
    </x:row>
    <x:row r="32">
      <x:c r="A32" s="31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3"/>
      <x:c r="Q32"/>
      <x:c r="R32"/>
    </x:row>
    <x:row r="33">
      <x:c r="A33" s="31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3"/>
      <x:c r="Q33"/>
      <x:c r="R33"/>
    </x:row>
    <x:row r="34">
      <x:c r="A34" s="31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3"/>
      <x:c r="Q34"/>
      <x:c r="R34"/>
    </x:row>
    <x:row r="35">
      <x:c r="A35" s="31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3"/>
      <x:c r="Q35"/>
      <x:c r="R35"/>
    </x:row>
    <x:row r="36">
      <x:c r="A36" s="31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3"/>
      <x:c r="Q36"/>
      <x:c r="R36"/>
    </x:row>
    <x:row r="37">
      <x:c r="A37" s="31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3"/>
      <x:c r="Q37"/>
      <x:c r="R37"/>
    </x:row>
    <x:row r="38">
      <x:c r="A38" s="31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3"/>
      <x:c r="Q38"/>
      <x:c r="R38"/>
    </x:row>
    <x:row r="39">
      <x:c r="A39" s="31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3"/>
      <x:c r="Q39"/>
      <x:c r="R39"/>
    </x:row>
    <x:row r="40">
      <x:c r="A40" s="31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3"/>
      <x:c r="Q40"/>
      <x:c r="R40"/>
    </x:row>
    <x:row r="41">
      <x:c r="A41" s="34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6"/>
      <x:c r="Q41"/>
      <x:c r="R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</x:row>
    <x:row r="43" ht="32" customHeight="1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/>
      <x:c r="R43"/>
    </x:row>
  </x:sheetData>
  <x:mergeCells>
    <x:mergeCell ref="A1:P1"/>
    <x:mergeCell ref="A43:P4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48" hidden="0" customWidth="1"/>
    <x:col min="17" max="17" width="20" hidden="0" customWidth="1"/>
    <x:col min="18" max="18" width="40" hidden="0" customWidth="1"/>
  </x:cols>
  <x:sheetData>
    <x:row r="1" ht="28" customHeight="1">
      <x:c r="A1" s="53" t="str">
        <x:v>Visione e percezione — roster ufficiale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 s="63" t="str">
        <x:v>Hero_Key</x:v>
      </x:c>
      <x:c r="B3" s="63" t="str">
        <x:v>Hero</x:v>
      </x:c>
      <x:c r="C3" s="63" t="str">
        <x:v>Ruolo</x:v>
      </x:c>
      <x:c r="D3" s="63" t="str">
        <x:v>Sight_Range_Hex</x:v>
      </x:c>
      <x:c r="E3" s="63" t="str">
        <x:v>Detection_0_100</x:v>
      </x:c>
      <x:c r="F3" s="63" t="str">
        <x:v>Identification_0_100</x:v>
      </x:c>
      <x:c r="G3" s="63" t="str">
        <x:v>Tracking_Turni</x:v>
      </x:c>
      <x:c r="H3" s="63" t="str">
        <x:v>Vision_Height</x:v>
      </x:c>
      <x:c r="I3" s="63" t="str">
        <x:v>Stealth_1_10</x:v>
      </x:c>
      <x:c r="J3" s="63" t="str">
        <x:v>Reveal_Recovery_Step</x:v>
      </x:c>
      <x:c r="K3" s="63" t="str">
        <x:v>Spotting_Support_1_10</x:v>
      </x:c>
      <x:c r="L3" s="63" t="str">
        <x:v>Firma_Movimento</x:v>
      </x:c>
      <x:c r="M3" s="63" t="str">
        <x:v>Firma_Attacco</x:v>
      </x:c>
      <x:c r="N3" s="63" t="str">
        <x:v>Sensor_Resist_1_10</x:v>
      </x:c>
      <x:c r="O3" s="63" t="str">
        <x:v>Contatto_Default</x:v>
      </x:c>
      <x:c r="P3" s="63" t="str">
        <x:v>Note</x:v>
      </x:c>
      <x:c r="Q3" s="58" t="str">
        <x:v>Data_Status</x:v>
      </x:c>
      <x:c r="R3" s="58" t="str">
        <x:v>Source_Note</x:v>
      </x:c>
    </x:row>
    <x:row r="4">
      <x:c r="A4" s="65" t="str">
        <x:v>ASSET_FLUX</x:v>
      </x:c>
      <x:c r="B4" s="65" t="str">
        <x:v>Flux</x:v>
      </x:c>
      <x:c r="C4" s="65" t="str">
        <x:v>Controller</x:v>
      </x:c>
      <x:c r="D4" s="65" t="n">
        <x:v>6</x:v>
      </x:c>
      <x:c r="E4" s="65" t="n">
        <x:v>48</x:v>
      </x:c>
      <x:c r="F4" s="65" t="n">
        <x:v>45</x:v>
      </x:c>
      <x:c r="G4" s="65" t="n">
        <x:v>1</x:v>
      </x:c>
      <x:c r="H4" s="65"/>
      <x:c r="I4" s="65" t="n">
        <x:v>2</x:v>
      </x:c>
      <x:c r="J4" s="65"/>
      <x:c r="K4" s="65"/>
      <x:c r="L4" s="65"/>
      <x:c r="M4" s="65"/>
      <x:c r="N4" s="65"/>
      <x:c r="O4" s="65"/>
      <x:c r="P4" s="65" t="str">
        <x:v>Vista 6 canonica. Detection 48 / Identification 45 / Stealth 2 / Tracking 1 sono baseline catalogo, non attive nello slice binario v0.1.</x:v>
      </x:c>
      <x:c r="Q4" s="61" t="str">
        <x:v>CANONICAL_BASELINE</x:v>
      </x:c>
      <x:c r="R4" s="61" t="str">
        <x:v>Percezione avanzata da differenziare via playtest.</x:v>
      </x:c>
    </x:row>
    <x:row r="5">
      <x:c r="A5" s="65" t="str">
        <x:v>ASSET_RIVA</x:v>
      </x:c>
      <x:c r="B5" s="65" t="str">
        <x:v>Riva</x:v>
      </x:c>
      <x:c r="C5" s="65" t="str">
        <x:v>Support</x:v>
      </x:c>
      <x:c r="D5" s="65" t="n">
        <x:v>5</x:v>
      </x:c>
      <x:c r="E5" s="65" t="n">
        <x:v>48</x:v>
      </x:c>
      <x:c r="F5" s="65" t="n">
        <x:v>45</x:v>
      </x:c>
      <x:c r="G5" s="65" t="n">
        <x:v>1</x:v>
      </x:c>
      <x:c r="H5" s="65"/>
      <x:c r="I5" s="65" t="n">
        <x:v>2</x:v>
      </x:c>
      <x:c r="J5" s="65"/>
      <x:c r="K5" s="65"/>
      <x:c r="L5" s="65"/>
      <x:c r="M5" s="65"/>
      <x:c r="N5" s="65"/>
      <x:c r="O5" s="65"/>
      <x:c r="P5" s="65" t="str">
        <x:v>Vista 5 canonica. Detection 48 / Identification 45 / Stealth 2 / Tracking 1 sono baseline catalogo, non attive nello slice binario v0.1.</x:v>
      </x:c>
      <x:c r="Q5" s="61" t="str">
        <x:v>CANONICAL_BASELINE</x:v>
      </x:c>
      <x:c r="R5" s="61" t="str">
        <x:v>Percezione avanzata da differenziare via playtest.</x:v>
      </x:c>
    </x:row>
    <x:row r="6">
      <x:c r="A6" s="65" t="str">
        <x:v>ASSET_BASTION</x:v>
      </x:c>
      <x:c r="B6" s="65" t="str">
        <x:v>Bastion</x:v>
      </x:c>
      <x:c r="C6" s="65" t="str">
        <x:v>Guardian</x:v>
      </x:c>
      <x:c r="D6" s="65" t="n">
        <x:v>5</x:v>
      </x:c>
      <x:c r="E6" s="65" t="n">
        <x:v>48</x:v>
      </x:c>
      <x:c r="F6" s="65" t="n">
        <x:v>45</x:v>
      </x:c>
      <x:c r="G6" s="65" t="n">
        <x:v>1</x:v>
      </x:c>
      <x:c r="H6" s="65"/>
      <x:c r="I6" s="65" t="n">
        <x:v>2</x:v>
      </x:c>
      <x:c r="J6" s="65"/>
      <x:c r="K6" s="65"/>
      <x:c r="L6" s="65"/>
      <x:c r="M6" s="65"/>
      <x:c r="N6" s="65"/>
      <x:c r="O6" s="65"/>
      <x:c r="P6" s="65" t="str">
        <x:v>Vista 5 canonica. Detection 48 / Identification 45 / Stealth 2 / Tracking 1 sono baseline catalogo, non attive nello slice binario v0.1.</x:v>
      </x:c>
      <x:c r="Q6" s="61" t="str">
        <x:v>CANONICAL_BASELINE</x:v>
      </x:c>
      <x:c r="R6" s="61" t="str">
        <x:v>Percezione avanzata da differenziare via playtest.</x:v>
      </x:c>
    </x:row>
    <x:row r="7">
      <x:c r="A7" s="65" t="str">
        <x:v>ASSET_VEKTOR</x:v>
      </x:c>
      <x:c r="B7" s="65" t="str">
        <x:v>Vektor</x:v>
      </x:c>
      <x:c r="C7" s="65" t="str">
        <x:v>Striker</x:v>
      </x:c>
      <x:c r="D7" s="65" t="n">
        <x:v>6</x:v>
      </x:c>
      <x:c r="E7" s="65" t="n">
        <x:v>48</x:v>
      </x:c>
      <x:c r="F7" s="65" t="n">
        <x:v>45</x:v>
      </x:c>
      <x:c r="G7" s="65" t="n">
        <x:v>1</x:v>
      </x:c>
      <x:c r="H7" s="65"/>
      <x:c r="I7" s="65" t="n">
        <x:v>2</x:v>
      </x:c>
      <x:c r="J7" s="65"/>
      <x:c r="K7" s="65"/>
      <x:c r="L7" s="65"/>
      <x:c r="M7" s="65"/>
      <x:c r="N7" s="65"/>
      <x:c r="O7" s="65"/>
      <x:c r="P7" s="65" t="str">
        <x:v>Vista 6 canonica. Detection 48 / Identification 45 / Stealth 2 / Tracking 1 sono baseline catalogo, non attive nello slice binario v0.1.</x:v>
      </x:c>
      <x:c r="Q7" s="61" t="str">
        <x:v>CANONICAL_BASELINE</x:v>
      </x:c>
      <x:c r="R7" s="61" t="str">
        <x:v>Percezione avanzata da differenziare via playtest.</x:v>
      </x:c>
    </x:row>
    <x:row r="8">
      <x:c r="A8" s="65" t="str">
        <x:v>ASSET_STEEL</x:v>
      </x:c>
      <x:c r="B8" s="65" t="str">
        <x:v>Steel</x:v>
      </x:c>
      <x:c r="C8" s="65" t="str">
        <x:v>Guardian</x:v>
      </x:c>
      <x:c r="D8" s="65" t="n">
        <x:v>6</x:v>
      </x:c>
      <x:c r="E8" s="65" t="n">
        <x:v>50</x:v>
      </x:c>
      <x:c r="F8" s="65" t="n">
        <x:v>45</x:v>
      </x:c>
      <x:c r="G8" s="65" t="n">
        <x:v>2</x:v>
      </x:c>
      <x:c r="H8" s="65" t="n">
        <x:v>2</x:v>
      </x:c>
      <x:c r="I8" s="65" t="n">
        <x:v>2</x:v>
      </x:c>
      <x:c r="J8" s="65" t="n">
        <x:v>3</x:v>
      </x:c>
      <x:c r="K8" s="65" t="n">
        <x:v>7</x:v>
      </x:c>
      <x:c r="L8" s="65" t="n">
        <x:v>9</x:v>
      </x:c>
      <x:c r="M8" s="65" t="n">
        <x:v>10</x:v>
      </x:c>
      <x:c r="N8" s="65" t="n">
        <x:v>1</x:v>
      </x:c>
      <x:c r="O8" s="65" t="str">
        <x:v>Contatto incerto</x:v>
      </x:c>
      <x:c r="P8" s="65" t="str">
        <x:v>360° base; coni solo per overwatch/sensori. Attacco rivela almeno origine o direzione.</x:v>
      </x:c>
      <x:c r="Q8" s="61" t="str">
        <x:v>SOURCE_VALUE</x:v>
      </x:c>
      <x:c r="R8" s="61" t="str">
        <x:v>Valori design v0.2 ereditati dalla matrice precedente.</x:v>
      </x:c>
    </x:row>
    <x:row r="9">
      <x:c r="A9" s="65" t="str">
        <x:v>ASSET_AURORA</x:v>
      </x:c>
      <x:c r="B9" s="65" t="str">
        <x:v>Aurora</x:v>
      </x:c>
      <x:c r="C9" s="65" t="str">
        <x:v>Controller</x:v>
      </x:c>
      <x:c r="D9" s="65" t="n">
        <x:v>7</x:v>
      </x:c>
      <x:c r="E9" s="65" t="n">
        <x:v>58</x:v>
      </x:c>
      <x:c r="F9" s="65" t="n">
        <x:v>55</x:v>
      </x:c>
      <x:c r="G9" s="65" t="n">
        <x:v>2</x:v>
      </x:c>
      <x:c r="H9" s="65" t="n">
        <x:v>2</x:v>
      </x:c>
      <x:c r="I9" s="65" t="n">
        <x:v>5</x:v>
      </x:c>
      <x:c r="J9" s="65" t="n">
        <x:v>3</x:v>
      </x:c>
      <x:c r="K9" s="65" t="n">
        <x:v>8</x:v>
      </x:c>
      <x:c r="L9" s="65" t="n">
        <x:v>5</x:v>
      </x:c>
      <x:c r="M9" s="65" t="n">
        <x:v>9</x:v>
      </x:c>
      <x:c r="N9" s="65" t="n">
        <x:v>4</x:v>
      </x:c>
      <x:c r="O9" s="65" t="str">
        <x:v>Rilevato</x:v>
      </x:c>
      <x:c r="P9" s="65" t="str">
        <x:v>360° base; coni solo per overwatch/sensori. Attacco rivela almeno origine o direzione.</x:v>
      </x:c>
      <x:c r="Q9" s="61" t="str">
        <x:v>SOURCE_VALUE</x:v>
      </x:c>
      <x:c r="R9" s="61" t="str">
        <x:v>Valori design v0.2 ereditati dalla matrice precedente.</x:v>
      </x:c>
    </x:row>
    <x:row r="10">
      <x:c r="A10" s="65" t="str">
        <x:v>ASSET_MURDOCK</x:v>
      </x:c>
      <x:c r="B10" s="65" t="str">
        <x:v>Murdock</x:v>
      </x:c>
      <x:c r="C10" s="65" t="str">
        <x:v>Marksman</x:v>
      </x:c>
      <x:c r="D10" s="65" t="n">
        <x:v>11</x:v>
      </x:c>
      <x:c r="E10" s="65" t="n">
        <x:v>68</x:v>
      </x:c>
      <x:c r="F10" s="65" t="n">
        <x:v>78</x:v>
      </x:c>
      <x:c r="G10" s="65" t="n">
        <x:v>3</x:v>
      </x:c>
      <x:c r="H10" s="65" t="n">
        <x:v>2</x:v>
      </x:c>
      <x:c r="I10" s="65" t="n">
        <x:v>3</x:v>
      </x:c>
      <x:c r="J10" s="65" t="n">
        <x:v>4</x:v>
      </x:c>
      <x:c r="K10" s="65" t="n">
        <x:v>8</x:v>
      </x:c>
      <x:c r="L10" s="65" t="n">
        <x:v>7</x:v>
      </x:c>
      <x:c r="M10" s="65" t="n">
        <x:v>10</x:v>
      </x:c>
      <x:c r="N10" s="65" t="n">
        <x:v>2</x:v>
      </x:c>
      <x:c r="O10" s="65" t="str">
        <x:v>Identificato</x:v>
      </x:c>
      <x:c r="P10" s="65" t="str">
        <x:v>360° base; coni solo per overwatch/sensori. Attacco rivela almeno origine o direzione.</x:v>
      </x:c>
      <x:c r="Q10" s="61" t="str">
        <x:v>SOURCE_VALUE</x:v>
      </x:c>
      <x:c r="R10" s="61" t="str">
        <x:v>Valori design v0.2 ereditati dalla matrice precedente.</x:v>
      </x:c>
    </x:row>
    <x:row r="11">
      <x:c r="A11" s="65" t="str">
        <x:v>ASSET_KWANG</x:v>
      </x:c>
      <x:c r="B11" s="65" t="str">
        <x:v>Kwang</x:v>
      </x:c>
      <x:c r="C11" s="65" t="str">
        <x:v>Bruiser</x:v>
      </x:c>
      <x:c r="D11" s="65" t="n">
        <x:v>6</x:v>
      </x:c>
      <x:c r="E11" s="65" t="n">
        <x:v>48</x:v>
      </x:c>
      <x:c r="F11" s="65" t="n">
        <x:v>45</x:v>
      </x:c>
      <x:c r="G11" s="65" t="n">
        <x:v>1</x:v>
      </x:c>
      <x:c r="H11" s="65" t="n">
        <x:v>2</x:v>
      </x:c>
      <x:c r="I11" s="65" t="n">
        <x:v>3</x:v>
      </x:c>
      <x:c r="J11" s="65" t="n">
        <x:v>3</x:v>
      </x:c>
      <x:c r="K11" s="65" t="n">
        <x:v>5</x:v>
      </x:c>
      <x:c r="L11" s="65" t="n">
        <x:v>8</x:v>
      </x:c>
      <x:c r="M11" s="65" t="n">
        <x:v>10</x:v>
      </x:c>
      <x:c r="N11" s="65" t="n">
        <x:v>2</x:v>
      </x:c>
      <x:c r="O11" s="65" t="str">
        <x:v>Contatto incerto</x:v>
      </x:c>
      <x:c r="P11" s="65" t="str">
        <x:v>360° base; coni solo per overwatch/sensori. Attacco rivela almeno origine o direzione.</x:v>
      </x:c>
      <x:c r="Q11" s="61" t="str">
        <x:v>SOURCE_VALUE</x:v>
      </x:c>
      <x:c r="R11" s="61" t="str">
        <x:v>Valori design v0.2 ereditati dalla matrice precedente.</x:v>
      </x:c>
    </x:row>
    <x:row r="12">
      <x:c r="A12" s="31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3"/>
      <x:c r="Q12"/>
      <x:c r="R12"/>
    </x:row>
    <x:row r="13">
      <x:c r="A13" s="31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3"/>
      <x:c r="Q13"/>
      <x:c r="R13"/>
    </x:row>
    <x:row r="14">
      <x:c r="A14" s="31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3"/>
      <x:c r="Q14"/>
      <x:c r="R14"/>
    </x:row>
    <x:row r="15">
      <x:c r="A15" s="31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3"/>
      <x:c r="Q15"/>
      <x:c r="R15"/>
    </x:row>
    <x:row r="16">
      <x:c r="A16" s="31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3"/>
      <x:c r="Q16"/>
      <x:c r="R16"/>
    </x:row>
    <x:row r="17">
      <x:c r="A17" s="31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3"/>
      <x:c r="Q17"/>
      <x:c r="R17"/>
    </x:row>
    <x:row r="18">
      <x:c r="A18" s="31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3"/>
      <x:c r="Q18"/>
      <x:c r="R18"/>
    </x:row>
    <x:row r="19">
      <x:c r="A19" s="31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3"/>
      <x:c r="Q19"/>
      <x:c r="R19"/>
    </x:row>
    <x:row r="20">
      <x:c r="A20" s="31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3"/>
      <x:c r="Q20"/>
      <x:c r="R20"/>
    </x:row>
    <x:row r="21">
      <x:c r="A21" s="31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3"/>
      <x:c r="Q21"/>
      <x:c r="R21"/>
    </x:row>
    <x:row r="22">
      <x:c r="A22" s="31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3"/>
      <x:c r="Q22"/>
      <x:c r="R22"/>
    </x:row>
    <x:row r="23">
      <x:c r="A23" s="31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3"/>
      <x:c r="Q23"/>
      <x:c r="R23"/>
    </x:row>
    <x:row r="24">
      <x:c r="A24" s="31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3"/>
      <x:c r="Q24"/>
      <x:c r="R24"/>
    </x:row>
    <x:row r="25">
      <x:c r="A25" s="31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3"/>
      <x:c r="Q25"/>
      <x:c r="R25"/>
    </x:row>
    <x:row r="26">
      <x:c r="A26" s="31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3"/>
      <x:c r="Q26"/>
      <x:c r="R26"/>
    </x:row>
    <x:row r="27">
      <x:c r="A27" s="31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3"/>
      <x:c r="Q27"/>
      <x:c r="R27"/>
    </x:row>
    <x:row r="28">
      <x:c r="A28" s="31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3"/>
      <x:c r="Q28"/>
      <x:c r="R28"/>
    </x:row>
    <x:row r="29">
      <x:c r="A29" s="31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3"/>
      <x:c r="Q29"/>
      <x:c r="R29"/>
    </x:row>
    <x:row r="30">
      <x:c r="A30" s="31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3"/>
      <x:c r="Q30"/>
      <x:c r="R30"/>
    </x:row>
    <x:row r="31">
      <x:c r="A31" s="31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3"/>
      <x:c r="Q31"/>
      <x:c r="R31"/>
    </x:row>
    <x:row r="32">
      <x:c r="A32" s="31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3"/>
      <x:c r="Q32"/>
      <x:c r="R32"/>
    </x:row>
    <x:row r="33">
      <x:c r="A33" s="31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3"/>
      <x:c r="Q33"/>
      <x:c r="R33"/>
    </x:row>
    <x:row r="34">
      <x:c r="A34" s="31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3"/>
      <x:c r="Q34"/>
      <x:c r="R34"/>
    </x:row>
    <x:row r="35">
      <x:c r="A35" s="31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3"/>
      <x:c r="Q35"/>
      <x:c r="R35"/>
    </x:row>
    <x:row r="36">
      <x:c r="A36" s="31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3"/>
      <x:c r="Q36"/>
      <x:c r="R36"/>
    </x:row>
    <x:row r="37">
      <x:c r="A37" s="31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3"/>
      <x:c r="Q37"/>
      <x:c r="R37"/>
    </x:row>
    <x:row r="38">
      <x:c r="A38" s="31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3"/>
      <x:c r="Q38"/>
      <x:c r="R38"/>
    </x:row>
    <x:row r="39">
      <x:c r="A39" s="31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3"/>
      <x:c r="Q39"/>
      <x:c r="R39"/>
    </x:row>
    <x:row r="40">
      <x:c r="A40" s="31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3"/>
      <x:c r="Q40"/>
      <x:c r="R40"/>
    </x:row>
    <x:row r="41">
      <x:c r="A41" s="34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6"/>
      <x:c r="Q41"/>
      <x:c r="R41"/>
    </x:row>
  </x:sheetData>
  <x:mergeCells>
    <x:mergeCell ref="A1:P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48" hidden="0" customWidth="1"/>
    <x:col min="18" max="18" width="20" hidden="0" customWidth="1"/>
    <x:col min="19" max="19" width="38" hidden="0" customWidth="1"/>
  </x:cols>
  <x:sheetData>
    <x:row r="1" ht="28" customHeight="1">
      <x:c r="A1" s="53" t="str">
        <x:v>Mobilità — roster ufficiale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63" t="str">
        <x:v>Hero_Key</x:v>
      </x:c>
      <x:c r="B3" s="63" t="str">
        <x:v>Hero</x:v>
      </x:c>
      <x:c r="C3" s="63" t="str">
        <x:v>Ruolo</x:v>
      </x:c>
      <x:c r="D3" s="63" t="str">
        <x:v>Move_Hex</x:v>
      </x:c>
      <x:c r="E3" s="63" t="str">
        <x:v>Sprint_Bonus</x:v>
      </x:c>
      <x:c r="F3" s="63" t="str">
        <x:v>Dash_Range</x:v>
      </x:c>
      <x:c r="G3" s="63" t="str">
        <x:v>Verticalità_1_10</x:v>
      </x:c>
      <x:c r="H3" s="63" t="str">
        <x:v>Costo_Acqua</x:v>
      </x:c>
      <x:c r="I3" s="63" t="str">
        <x:v>Costo_Ghiaccio</x:v>
      </x:c>
      <x:c r="J3" s="63" t="str">
        <x:v>Costo_Fango</x:v>
      </x:c>
      <x:c r="K3" s="63" t="str">
        <x:v>Porta_AP</x:v>
      </x:c>
      <x:c r="L3" s="63" t="str">
        <x:v>Ponte_Mod</x:v>
      </x:c>
      <x:c r="M3" s="63" t="str">
        <x:v>Tunnel_Mod</x:v>
      </x:c>
      <x:c r="N3" s="63" t="str">
        <x:v>Ascensore_AP</x:v>
      </x:c>
      <x:c r="O3" s="63" t="str">
        <x:v>Knockback_Resist</x:v>
      </x:c>
      <x:c r="P3" s="63" t="str">
        <x:v>Collision_Priority</x:v>
      </x:c>
      <x:c r="Q3" s="63" t="str">
        <x:v>Note</x:v>
      </x:c>
      <x:c r="R3" s="58" t="str">
        <x:v>Data_Status</x:v>
      </x:c>
      <x:c r="S3" s="58" t="str">
        <x:v>Source_Note</x:v>
      </x:c>
    </x:row>
    <x:row r="4">
      <x:c r="A4" s="65" t="str">
        <x:v>ASSET_FLUX</x:v>
      </x:c>
      <x:c r="B4" s="65" t="str">
        <x:v>Flux</x:v>
      </x:c>
      <x:c r="C4" s="65" t="str">
        <x:v>Controller</x:v>
      </x:c>
      <x:c r="D4" s="65" t="n">
        <x:v>5</x:v>
      </x:c>
      <x:c r="E4" s="65"/>
      <x:c r="F4" s="65"/>
      <x:c r="G4" s="65"/>
      <x:c r="H4" s="65"/>
      <x:c r="I4" s="65"/>
      <x:c r="J4" s="65"/>
      <x:c r="K4" s="65"/>
      <x:c r="L4" s="65"/>
      <x:c r="M4" s="65"/>
      <x:c r="N4" s="65"/>
      <x:c r="O4" s="65" t="n">
        <x:v>0</x:v>
      </x:c>
      <x:c r="P4" s="65"/>
      <x:c r="Q4" s="65" t="str">
        <x:v>Move 5 MP e Push Resistance 0 canonici. Altri modificatori di mobilità non sono definiti per eroe.</x:v>
      </x:c>
      <x:c r="R4" s="61" t="str">
        <x:v>CANONICAL_PARTIAL</x:v>
      </x:c>
      <x:c r="S4" s="61" t="str">
        <x:v>Sprint/Dash usano le regole comuni del catalogo azioni.</x:v>
      </x:c>
    </x:row>
    <x:row r="5">
      <x:c r="A5" s="65" t="str">
        <x:v>ASSET_RIVA</x:v>
      </x:c>
      <x:c r="B5" s="65" t="str">
        <x:v>Riva</x:v>
      </x:c>
      <x:c r="C5" s="65" t="str">
        <x:v>Support</x:v>
      </x:c>
      <x:c r="D5" s="65" t="n">
        <x:v>5</x:v>
      </x:c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 t="n">
        <x:v>0</x:v>
      </x:c>
      <x:c r="P5" s="65"/>
      <x:c r="Q5" s="65" t="str">
        <x:v>Move 5 MP e Push Resistance 0 canonici. Altri modificatori di mobilità non sono definiti per eroe.</x:v>
      </x:c>
      <x:c r="R5" s="61" t="str">
        <x:v>CANONICAL_PARTIAL</x:v>
      </x:c>
      <x:c r="S5" s="61" t="str">
        <x:v>FluidTrail è un Dash 3 specifico dell'eroe.</x:v>
      </x:c>
    </x:row>
    <x:row r="6">
      <x:c r="A6" s="65" t="str">
        <x:v>ASSET_BASTION</x:v>
      </x:c>
      <x:c r="B6" s="65" t="str">
        <x:v>Bastion</x:v>
      </x:c>
      <x:c r="C6" s="65" t="str">
        <x:v>Guardian</x:v>
      </x:c>
      <x:c r="D6" s="65" t="n">
        <x:v>4</x:v>
      </x:c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 t="n">
        <x:v>1</x:v>
      </x:c>
      <x:c r="P6" s="65"/>
      <x:c r="Q6" s="65" t="str">
        <x:v>Move 4 MP e Push Resistance 1 canonici. Altri modificatori di mobilità non sono definiti per eroe.</x:v>
      </x:c>
      <x:c r="R6" s="61" t="str">
        <x:v>CANONICAL_PARTIAL</x:v>
      </x:c>
      <x:c r="S6" s="61" t="str">
        <x:v>Ram riusa la semantica di Charge 3.</x:v>
      </x:c>
    </x:row>
    <x:row r="7">
      <x:c r="A7" s="65" t="str">
        <x:v>ASSET_VEKTOR</x:v>
      </x:c>
      <x:c r="B7" s="65" t="str">
        <x:v>Vektor</x:v>
      </x:c>
      <x:c r="C7" s="65" t="str">
        <x:v>Striker</x:v>
      </x:c>
      <x:c r="D7" s="65" t="n">
        <x:v>6</x:v>
      </x:c>
      <x:c r="E7" s="65"/>
      <x:c r="F7" s="65"/>
      <x:c r="G7" s="65"/>
      <x:c r="H7" s="65"/>
      <x:c r="I7" s="65"/>
      <x:c r="J7" s="65"/>
      <x:c r="K7" s="65"/>
      <x:c r="L7" s="65"/>
      <x:c r="M7" s="65"/>
      <x:c r="N7" s="65"/>
      <x:c r="O7" s="65" t="n">
        <x:v>0</x:v>
      </x:c>
      <x:c r="P7" s="65"/>
      <x:c r="Q7" s="65" t="str">
        <x:v>Move 6 MP e Push Resistance 0 canonici. Altri modificatori di mobilità non sono definiti per eroe.</x:v>
      </x:c>
      <x:c r="R7" s="61" t="str">
        <x:v>CANONICAL_PARTIAL</x:v>
      </x:c>
      <x:c r="S7" s="61" t="str">
        <x:v>PassingBlade è un Dash 3 lineare.</x:v>
      </x:c>
    </x:row>
    <x:row r="8">
      <x:c r="A8" s="65" t="str">
        <x:v>ASSET_STEEL</x:v>
      </x:c>
      <x:c r="B8" s="65" t="str">
        <x:v>Steel</x:v>
      </x:c>
      <x:c r="C8" s="65" t="str">
        <x:v>Guardian</x:v>
      </x:c>
      <x:c r="D8" s="65" t="n">
        <x:v>4</x:v>
      </x:c>
      <x:c r="E8" s="65" t="n">
        <x:v>1</x:v>
      </x:c>
      <x:c r="F8" s="65" t="n">
        <x:v>2</x:v>
      </x:c>
      <x:c r="G8" s="65" t="n">
        <x:v>3</x:v>
      </x:c>
      <x:c r="H8" s="65" t="n">
        <x:v>3</x:v>
      </x:c>
      <x:c r="I8" s="65" t="n">
        <x:v>3</x:v>
      </x:c>
      <x:c r="J8" s="65" t="n">
        <x:v>2</x:v>
      </x:c>
      <x:c r="K8" s="65" t="n">
        <x:v>1</x:v>
      </x:c>
      <x:c r="L8" s="65" t="n">
        <x:v>1</x:v>
      </x:c>
      <x:c r="M8" s="65" t="n">
        <x:v>1</x:v>
      </x:c>
      <x:c r="N8" s="65" t="n">
        <x:v>1</x:v>
      </x:c>
      <x:c r="O8" s="65" t="n">
        <x:v>10</x:v>
      </x:c>
      <x:c r="P8" s="65" t="n">
        <x:v>3</x:v>
      </x:c>
      <x:c r="Q8" s="65" t="str">
        <x:v>Costi interi; A* autorevole; NavMesh solo visualizzazione.</x:v>
      </x:c>
      <x:c r="R8" s="61" t="str">
        <x:v>SOURCE_VALUE</x:v>
      </x:c>
      <x:c r="S8" s="61" t="str">
        <x:v>Valori design v0.2 ereditati dalla matrice precedente.</x:v>
      </x:c>
    </x:row>
    <x:row r="9">
      <x:c r="A9" s="65" t="str">
        <x:v>ASSET_AURORA</x:v>
      </x:c>
      <x:c r="B9" s="65" t="str">
        <x:v>Aurora</x:v>
      </x:c>
      <x:c r="C9" s="65" t="str">
        <x:v>Controller</x:v>
      </x:c>
      <x:c r="D9" s="65" t="n">
        <x:v>6</x:v>
      </x:c>
      <x:c r="E9" s="65" t="n">
        <x:v>1</x:v>
      </x:c>
      <x:c r="F9" s="65" t="n">
        <x:v>5</x:v>
      </x:c>
      <x:c r="G9" s="65" t="n">
        <x:v>6</x:v>
      </x:c>
      <x:c r="H9" s="65" t="n">
        <x:v>2</x:v>
      </x:c>
      <x:c r="I9" s="65" t="n">
        <x:v>1</x:v>
      </x:c>
      <x:c r="J9" s="65" t="n">
        <x:v>3</x:v>
      </x:c>
      <x:c r="K9" s="65" t="n">
        <x:v>1</x:v>
      </x:c>
      <x:c r="L9" s="65" t="n">
        <x:v>0</x:v>
      </x:c>
      <x:c r="M9" s="65" t="n">
        <x:v>1</x:v>
      </x:c>
      <x:c r="N9" s="65" t="n">
        <x:v>1</x:v>
      </x:c>
      <x:c r="O9" s="65" t="n">
        <x:v>5</x:v>
      </x:c>
      <x:c r="P9" s="65" t="n">
        <x:v>1</x:v>
      </x:c>
      <x:c r="Q9" s="65" t="str">
        <x:v>Costi interi; A* autorevole; NavMesh solo visualizzazione.</x:v>
      </x:c>
      <x:c r="R9" s="61" t="str">
        <x:v>SOURCE_VALUE</x:v>
      </x:c>
      <x:c r="S9" s="61" t="str">
        <x:v>Valori design v0.2 ereditati dalla matrice precedente.</x:v>
      </x:c>
    </x:row>
    <x:row r="10">
      <x:c r="A10" s="65" t="str">
        <x:v>ASSET_MURDOCK</x:v>
      </x:c>
      <x:c r="B10" s="65" t="str">
        <x:v>Murdock</x:v>
      </x:c>
      <x:c r="C10" s="65" t="str">
        <x:v>Marksman</x:v>
      </x:c>
      <x:c r="D10" s="65" t="n">
        <x:v>5</x:v>
      </x:c>
      <x:c r="E10" s="65" t="n">
        <x:v>1</x:v>
      </x:c>
      <x:c r="F10" s="65" t="n">
        <x:v>2</x:v>
      </x:c>
      <x:c r="G10" s="65" t="n">
        <x:v>3</x:v>
      </x:c>
      <x:c r="H10" s="65" t="n">
        <x:v>3</x:v>
      </x:c>
      <x:c r="I10" s="65" t="n">
        <x:v>3</x:v>
      </x:c>
      <x:c r="J10" s="65" t="n">
        <x:v>3</x:v>
      </x:c>
      <x:c r="K10" s="65" t="n">
        <x:v>2</x:v>
      </x:c>
      <x:c r="L10" s="65" t="n">
        <x:v>1</x:v>
      </x:c>
      <x:c r="M10" s="65" t="n">
        <x:v>1</x:v>
      </x:c>
      <x:c r="N10" s="65" t="n">
        <x:v>1</x:v>
      </x:c>
      <x:c r="O10" s="65" t="n">
        <x:v>3</x:v>
      </x:c>
      <x:c r="P10" s="65" t="n">
        <x:v>1</x:v>
      </x:c>
      <x:c r="Q10" s="65" t="str">
        <x:v>Costi interi; A* autorevole; NavMesh solo visualizzazione.</x:v>
      </x:c>
      <x:c r="R10" s="61" t="str">
        <x:v>SOURCE_VALUE</x:v>
      </x:c>
      <x:c r="S10" s="61" t="str">
        <x:v>Valori design v0.2 ereditati dalla matrice precedente.</x:v>
      </x:c>
    </x:row>
    <x:row r="11">
      <x:c r="A11" s="65" t="str">
        <x:v>ASSET_KWANG</x:v>
      </x:c>
      <x:c r="B11" s="65" t="str">
        <x:v>Kwang</x:v>
      </x:c>
      <x:c r="C11" s="65" t="str">
        <x:v>Bruiser</x:v>
      </x:c>
      <x:c r="D11" s="65" t="n">
        <x:v>6</x:v>
      </x:c>
      <x:c r="E11" s="65" t="n">
        <x:v>1</x:v>
      </x:c>
      <x:c r="F11" s="65" t="n">
        <x:v>4</x:v>
      </x:c>
      <x:c r="G11" s="65" t="n">
        <x:v>4</x:v>
      </x:c>
      <x:c r="H11" s="65" t="n">
        <x:v>2</x:v>
      </x:c>
      <x:c r="I11" s="65" t="n">
        <x:v>3</x:v>
      </x:c>
      <x:c r="J11" s="65" t="n">
        <x:v>2</x:v>
      </x:c>
      <x:c r="K11" s="65" t="n">
        <x:v>1</x:v>
      </x:c>
      <x:c r="L11" s="65" t="n">
        <x:v>1</x:v>
      </x:c>
      <x:c r="M11" s="65" t="n">
        <x:v>0</x:v>
      </x:c>
      <x:c r="N11" s="65" t="n">
        <x:v>1</x:v>
      </x:c>
      <x:c r="O11" s="65" t="n">
        <x:v>7</x:v>
      </x:c>
      <x:c r="P11" s="65" t="n">
        <x:v>2</x:v>
      </x:c>
      <x:c r="Q11" s="65" t="str">
        <x:v>Costi interi; A* autorevole; NavMesh solo visualizzazione.</x:v>
      </x:c>
      <x:c r="R11" s="61" t="str">
        <x:v>SOURCE_VALUE</x:v>
      </x:c>
      <x:c r="S11" s="61" t="str">
        <x:v>Valori design v0.2 ereditati dalla matrice precedente.</x:v>
      </x:c>
    </x:row>
    <x:row r="12">
      <x:c r="A12" s="31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3"/>
      <x:c r="R12"/>
      <x:c r="S12"/>
    </x:row>
    <x:row r="13">
      <x:c r="A13" s="31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3"/>
      <x:c r="R13"/>
      <x:c r="S13"/>
    </x:row>
    <x:row r="14">
      <x:c r="A14" s="31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3"/>
      <x:c r="R14"/>
      <x:c r="S14"/>
    </x:row>
    <x:row r="15">
      <x:c r="A15" s="31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3"/>
      <x:c r="R15"/>
      <x:c r="S15"/>
    </x:row>
    <x:row r="16">
      <x:c r="A16" s="31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3"/>
      <x:c r="R16"/>
      <x:c r="S16"/>
    </x:row>
    <x:row r="17">
      <x:c r="A17" s="31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3"/>
      <x:c r="R17"/>
      <x:c r="S17"/>
    </x:row>
    <x:row r="18">
      <x:c r="A18" s="31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3"/>
      <x:c r="R18"/>
      <x:c r="S18"/>
    </x:row>
    <x:row r="19">
      <x:c r="A19" s="31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3"/>
      <x:c r="R19"/>
      <x:c r="S19"/>
    </x:row>
    <x:row r="20">
      <x:c r="A20" s="31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3"/>
      <x:c r="R20"/>
      <x:c r="S20"/>
    </x:row>
    <x:row r="21">
      <x:c r="A21" s="31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3"/>
      <x:c r="R21"/>
      <x:c r="S21"/>
    </x:row>
    <x:row r="22">
      <x:c r="A22" s="31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3"/>
      <x:c r="R22"/>
      <x:c r="S22"/>
    </x:row>
    <x:row r="23">
      <x:c r="A23" s="31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3"/>
      <x:c r="R23"/>
      <x:c r="S23"/>
    </x:row>
    <x:row r="24">
      <x:c r="A24" s="31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3"/>
      <x:c r="R24"/>
      <x:c r="S24"/>
    </x:row>
    <x:row r="25">
      <x:c r="A25" s="31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3"/>
      <x:c r="R25"/>
      <x:c r="S25"/>
    </x:row>
    <x:row r="26">
      <x:c r="A26" s="31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3"/>
      <x:c r="R26"/>
      <x:c r="S26"/>
    </x:row>
    <x:row r="27">
      <x:c r="A27" s="31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3"/>
      <x:c r="R27"/>
      <x:c r="S27"/>
    </x:row>
    <x:row r="28">
      <x:c r="A28" s="31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3"/>
      <x:c r="R28"/>
      <x:c r="S28"/>
    </x:row>
    <x:row r="29">
      <x:c r="A29" s="31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3"/>
      <x:c r="R29"/>
      <x:c r="S29"/>
    </x:row>
    <x:row r="30">
      <x:c r="A30" s="31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3"/>
      <x:c r="R30"/>
      <x:c r="S30"/>
    </x:row>
    <x:row r="31">
      <x:c r="A31" s="31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3"/>
      <x:c r="R31"/>
      <x:c r="S31"/>
    </x:row>
    <x:row r="32">
      <x:c r="A32" s="31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3"/>
      <x:c r="R32"/>
      <x:c r="S32"/>
    </x:row>
    <x:row r="33">
      <x:c r="A33" s="31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3"/>
      <x:c r="R33"/>
      <x:c r="S33"/>
    </x:row>
    <x:row r="34">
      <x:c r="A34" s="31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3"/>
      <x:c r="R34"/>
      <x:c r="S34"/>
    </x:row>
    <x:row r="35">
      <x:c r="A35" s="31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3"/>
      <x:c r="R35"/>
      <x:c r="S35"/>
    </x:row>
    <x:row r="36">
      <x:c r="A36" s="31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3"/>
      <x:c r="R36"/>
      <x:c r="S36"/>
    </x:row>
    <x:row r="37">
      <x:c r="A37" s="31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3"/>
      <x:c r="R37"/>
      <x:c r="S37"/>
    </x:row>
    <x:row r="38">
      <x:c r="A38" s="31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3"/>
      <x:c r="R38"/>
      <x:c r="S38"/>
    </x:row>
    <x:row r="39">
      <x:c r="A39" s="31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3"/>
      <x:c r="R39"/>
      <x:c r="S39"/>
    </x:row>
    <x:row r="40">
      <x:c r="A40" s="31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3"/>
      <x:c r="R40"/>
      <x:c r="S40"/>
    </x:row>
    <x:row r="41">
      <x:c r="A41" s="34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6"/>
      <x:c r="R41"/>
      <x:c r="S41"/>
    </x:row>
  </x:sheetData>
  <x:mergeCells>
    <x:mergeCell ref="A1:Q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18" hidden="0" customWidth="1"/>
    <x:col min="17" max="17" width="18" hidden="0" customWidth="1"/>
    <x:col min="18" max="18" width="18" hidden="0" customWidth="1"/>
    <x:col min="19" max="19" width="48" hidden="0" customWidth="1"/>
  </x:cols>
  <x:sheetData>
    <x:row r="1" ht="28" customHeight="1">
      <x:c r="A1" s="53" t="str">
        <x:v>Signature Mechanics — 8 personaggi ufficiali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</x:row>
    <x:row r="3">
      <x:c r="A3" s="63" t="str">
        <x:v>Mechanic_ID</x:v>
      </x:c>
      <x:c r="B3" s="63" t="str">
        <x:v>Hero_Key</x:v>
      </x:c>
      <x:c r="C3" s="63" t="str">
        <x:v>Hero</x:v>
      </x:c>
      <x:c r="D3" s="63" t="str">
        <x:v>Nome</x:v>
      </x:c>
      <x:c r="E3" s="63" t="str">
        <x:v>Scope</x:v>
      </x:c>
      <x:c r="F3" s="63" t="str">
        <x:v>Tipo</x:v>
      </x:c>
      <x:c r="G3" s="63" t="str">
        <x:v>Secondaria</x:v>
      </x:c>
      <x:c r="H3" s="63" t="str">
        <x:v>Framework</x:v>
      </x:c>
      <x:c r="I3" s="63" t="str">
        <x:v>Technical_Dependency</x:v>
      </x:c>
      <x:c r="J3" s="63" t="str">
        <x:v>Player_Question</x:v>
      </x:c>
      <x:c r="K3" s="63" t="str">
        <x:v>State</x:v>
      </x:c>
      <x:c r="L3" s="63" t="str">
        <x:v>Activation_Triggers</x:v>
      </x:c>
      <x:c r="M3" s="63" t="str">
        <x:v>Payoff</x:v>
      </x:c>
      <x:c r="N3" s="63" t="str">
        <x:v>Counterplay</x:v>
      </x:c>
      <x:c r="O3" s="63" t="str">
        <x:v>Telegraphing</x:v>
      </x:c>
      <x:c r="P3" s="63" t="str">
        <x:v>Design_Status</x:v>
      </x:c>
      <x:c r="Q3" s="63" t="str">
        <x:v>ReleaseVersion</x:v>
      </x:c>
      <x:c r="R3" s="63" t="str">
        <x:v>Notes</x:v>
      </x:c>
      <x:c r="S3" s="15" t="str">
        <x:v>Descrizione_Wiki</x:v>
      </x:c>
    </x:row>
    <x:row r="4">
      <x:c r="A4" s="65" t="str">
        <x:v>MECH_FLUX_CONDUCTION</x:v>
      </x:c>
      <x:c r="B4" s="65" t="str">
        <x:v>ASSET_FLUX</x:v>
      </x:c>
      <x:c r="C4" s="65" t="str">
        <x:v>Flux</x:v>
      </x:c>
      <x:c r="D4" s="65" t="str">
        <x:v>Conduction</x:v>
      </x:c>
      <x:c r="E4" s="65" t="str">
        <x:v>Exclusive</x:v>
      </x:c>
      <x:c r="F4" s="65" t="str">
        <x:v>Primary Signature</x:v>
      </x:c>
      <x:c r="G4" s="65" t="str">
        <x:v>Water-Electric Combo</x:v>
      </x:c>
      <x:c r="H4" s="65" t="str">
        <x:v>Resource, Environment, Status</x:v>
      </x:c>
      <x:c r="I4" s="65" t="str">
        <x:v>Wet, electric interactions, propagation</x:v>
      </x:c>
      <x:c r="J4" s="65" t="str">
        <x:v>Come preparo la conduzione migliore?</x:v>
      </x:c>
      <x:c r="K4" s="65" t="str">
        <x:v>Carica Conduttiva + stato Wet / celle conduttive</x:v>
      </x:c>
      <x:c r="L4" s="65" t="str">
        <x:v>Interazioni elettriche e abilità di setup</x:v>
      </x:c>
      <x:c r="M4" s="65" t="str">
        <x:v>Trasforma setup ambientali in pressione, incluso +8 su Wet con LinearDischarge</x:v>
      </x:c>
      <x:c r="N4" s="65" t="str">
        <x:v>Uscire da Wet, interrompere setup, pressione sul fragile Flux</x:v>
      </x:c>
      <x:c r="O4" s="65" t="str">
        <x:v>Stato pubblico/ambientale; risorsa team-visible</x:v>
      </x:c>
      <x:c r="P4" s="65" t="str">
        <x:v>IMPLEMENTED</x:v>
      </x:c>
      <x:c r="Q4" s="65" t="str">
        <x:v>v0.1</x:v>
      </x:c>
      <x:c r="R4" s="65" t="str">
        <x:v>Etichetta editoriale della meccanica; i numeri canonici vivono nei cataloghi v0.1.</x:v>
      </x:c>
      <x:c r="S4" s="15" t="str">
        <x:v>**Conduction** è il nucleo del gameplay di Flux. Il personaggio non ottiene il massimo valore sparando semplicemente al primo bersaglio disponibile: prepara invece condizioni conduttive e cerca il momento in cui trasformarle in pressione offensiva. La meccanica combina la **Carica Conduttiva** con stati e superfici che rendono l'elettricità più efficace, in particolare `Wet`.
La Carica Conduttiva ha cap 4 e si rigenera di 1 tramite un'interazione elettrica; il valore iniziale non è ancora specificato. Nel kit v0.1 la parte più concreta della meccanica è `LinearDischarge`, che ottiene +8 danni contro un bersaglio `Wet`. `ConductiveNode` estende il concetto alle celle conduttive, ma la sua rappresentazione runtime è ancora parziale.
Il controgioco è leggibile: evitare o rimuovere `Wet`, spezzare il setup ambientale e mettere pressione su Flux prima che possa convertire il campo preparato in un vantaggio.</x:v>
      </x:c>
    </x:row>
    <x:row r="5">
      <x:c r="A5" s="65" t="str">
        <x:v>MECH_RIVA_WATER_SHAPING</x:v>
      </x:c>
      <x:c r="B5" s="65" t="str">
        <x:v>ASSET_RIVA</x:v>
      </x:c>
      <x:c r="C5" s="65" t="str">
        <x:v>Riva</x:v>
      </x:c>
      <x:c r="D5" s="65" t="str">
        <x:v>Water Shaping</x:v>
      </x:c>
      <x:c r="E5" s="65" t="str">
        <x:v>Exclusive</x:v>
      </x:c>
      <x:c r="F5" s="65" t="str">
        <x:v>Primary Signature</x:v>
      </x:c>
      <x:c r="G5" s="65" t="str">
        <x:v>Wet Setup</x:v>
      </x:c>
      <x:c r="H5" s="65" t="str">
        <x:v>Environment, Support, Movement</x:v>
      </x:c>
      <x:c r="I5" s="65" t="str">
        <x:v>Water, Wet, smoke, reposition</x:v>
      </x:c>
      <x:c r="J5" s="65" t="str">
        <x:v>Dove preparo il terreno per la squadra?</x:v>
      </x:c>
      <x:c r="K5" s="65" t="str">
        <x:v>Riserva Idrica + superfici/stati d'acqua</x:v>
      </x:c>
      <x:c r="L5" s="65" t="str">
        <x:v>Interazioni con acqua e abilità di setup</x:v>
      </x:c>
      <x:c r="M5" s="65" t="str">
        <x:v>Cura, Wet, controllo terreno e riposizionamento</x:v>
      </x:c>
      <x:c r="N5" s="65" t="str">
        <x:v>Disperdere il setup, elettricità nemica, uscire dalle zone preparate</x:v>
      </x:c>
      <x:c r="O5" s="65" t="str">
        <x:v>Stato ambientale pubblico/observed; risorsa team-visible</x:v>
      </x:c>
      <x:c r="P5" s="65" t="str">
        <x:v>IMPLEMENTED</x:v>
      </x:c>
      <x:c r="Q5" s="65" t="str">
        <x:v>v0.1</x:v>
      </x:c>
      <x:c r="R5" s="65" t="str">
        <x:v>FlowReaction resta rinviata a E14; il resto del kit è catalogato.</x:v>
      </x:c>
      <x:c r="S5" s="15" t="str">
        <x:v>**Water Shaping** fa di Riva il principale personaggio di setup ambientale della v0.1. La sua acqua non è solo un tema visivo: serve a applicare `Wet`, spostare unità, sostenere gli alleati e preparare interazioni successive, soprattutto con l'elettricità.
La **Riserva Idrica** ha cap 4 e recupera 1 tramite interazioni con l'acqua; il valore iniziale non è ancora specificato. Il kit alterna effetti immediati (`PressureJet`, `CircularTide`) a trasformazioni del campo (`FluidTrail`, `MistVeil`) e a un riposizionamento reattivo (`FlowReaction`, rinviato a E14).
Il suo payoff cresce quando la squadra sfrutta le celle e gli stati che Riva ha preparato. Il controgioco consiste nel non restare nelle zone predisposte, interrompere la continuità del setup e sfruttare il fatto che l'acqua può diventare un vettore utile anche all'elettricità avversaria.</x:v>
      </x:c>
    </x:row>
    <x:row r="6">
      <x:c r="A6" s="65" t="str">
        <x:v>MECH_BASTION_FIELD_ARCHITECTURE</x:v>
      </x:c>
      <x:c r="B6" s="65" t="str">
        <x:v>ASSET_BASTION</x:v>
      </x:c>
      <x:c r="C6" s="65" t="str">
        <x:v>Bastion</x:v>
      </x:c>
      <x:c r="D6" s="65" t="str">
        <x:v>Field Architecture</x:v>
      </x:c>
      <x:c r="E6" s="65" t="str">
        <x:v>Exclusive</x:v>
      </x:c>
      <x:c r="F6" s="65" t="str">
        <x:v>Primary Signature</x:v>
      </x:c>
      <x:c r="G6" s="65" t="str">
        <x:v>Ally Interposition</x:v>
      </x:c>
      <x:c r="H6" s="65" t="str">
        <x:v>Structures, Cover, Reaction</x:v>
      </x:c>
      <x:c r="I6" s="65" t="str">
        <x:v>Cover, structures, topology, intercept</x:v>
      </x:c>
      <x:c r="J6" s="65" t="str">
        <x:v>Quale spazio chiudo e chi proteggo?</x:v>
      </x:c>
      <x:c r="K6" s="65" t="str">
        <x:v>Integrità Strutturale + coperture/strutture controllate</x:v>
      </x:c>
      <x:c r="L6" s="65" t="str">
        <x:v>Crea/riconfigura strutture e reagisce agli attacchi agli alleati</x:v>
      </x:c>
      <x:c r="M6" s="65" t="str">
        <x:v>Modifica linee e rotte, assorbe pressione al posto degli alleati</x:v>
      </x:c>
      <x:c r="N6" s="65" t="str">
        <x:v>Flank, mobilità, distruzione strutture, separazione dagli alleati</x:v>
      </x:c>
      <x:c r="O6" s="65" t="str">
        <x:v>Strutture pubbliche; intenti di reazione team-only durante planning</x:v>
      </x:c>
      <x:c r="P6" s="65" t="str">
        <x:v>IMPLEMENTED</x:v>
      </x:c>
      <x:c r="Q6" s="65" t="str">
        <x:v>v0.1</x:v>
      </x:c>
      <x:c r="R6" s="65" t="str">
        <x:v>Interposition è cablata; KineticPanel/Reconfigure dipendono dal sistema strutture.</x:v>
      </x:c>
      <x:c r="S6" s="15" t="str">
        <x:v>**Field Architecture** permette a Bastion di trattare coperture e strutture come parte del proprio kit. Il suo valore non deriva solo dagli HP: decide quali linee rendere sicure, quali spazi chiudere e quando trasformare la propria resistenza in protezione diretta per un alleato.
L'**Integrità Strutturale** ha cap 4 e recupera 1 nel Cleanup; il valore iniziale non è ancora specificato. `KineticPanel` e `Reconfigure` esprimono il lato di controllo della mappa, mentre `Ram` e `Interposition` gli permettono di convertire presenza fisica e posizione in pressione e protezione.
Il controgioco è geometrico: aggirare le coperture, distruggere o rendere irrilevanti le strutture, separare Bastion dagli alleati che vuole proteggere e costringerlo a scegliere tra tenere una linea e intervenire altrove.</x:v>
      </x:c>
    </x:row>
    <x:row r="7">
      <x:c r="A7" s="65" t="str">
        <x:v>MECH_VEKTOR_PREDICTIVE_INTERCEPTION</x:v>
      </x:c>
      <x:c r="B7" s="65" t="str">
        <x:v>ASSET_VEKTOR</x:v>
      </x:c>
      <x:c r="C7" s="65" t="str">
        <x:v>Vektor</x:v>
      </x:c>
      <x:c r="D7" s="65" t="str">
        <x:v>Predictive Interception</x:v>
      </x:c>
      <x:c r="E7" s="65" t="str">
        <x:v>Exclusive</x:v>
      </x:c>
      <x:c r="F7" s="65" t="str">
        <x:v>Primary Signature</x:v>
      </x:c>
      <x:c r="G7" s="65" t="str">
        <x:v>Movement Punish</x:v>
      </x:c>
      <x:c r="H7" s="65" t="str">
        <x:v>Movement, Reaction, Prediction</x:v>
      </x:c>
      <x:c r="I7" s="65" t="str">
        <x:v>Movement triggers, decision boundaries, facing</x:v>
      </x:c>
      <x:c r="J7" s="65" t="str">
        <x:v>Dove passerà il nemico?</x:v>
      </x:c>
      <x:c r="K7" s="65" t="str">
        <x:v>Slancio + zone/traiettorie controllate</x:v>
      </x:c>
      <x:c r="L7" s="65" t="str">
        <x:v>Movimento eseguito e azioni di intercetto</x:v>
      </x:c>
      <x:c r="M7" s="65" t="str">
        <x:v>Punisce traiettorie prevedibili e usa mobilità superiore per il duello</x:v>
      </x:c>
      <x:c r="N7" s="65" t="str">
        <x:v>Cambiare rotta, chiudere LOS, strutture, bait delle reazioni</x:v>
      </x:c>
      <x:c r="O7" s="65" t="str">
        <x:v>Zona armata/trigger osservabili secondo regole di informazione</x:v>
      </x:c>
      <x:c r="P7" s="65" t="str">
        <x:v>IMPLEMENTED_PARTIAL</x:v>
      </x:c>
      <x:c r="Q7" s="65" t="str">
        <x:v>v0.1</x:v>
      </x:c>
      <x:c r="R7" s="65" t="str">
        <x:v>Deflection è cablata; InterceptShot dipende da E14.</x:v>
      </x:c>
      <x:c r="S7" s="15" t="str">
        <x:v>**Predictive Interception** premia la lettura delle traiettorie avversarie. Vektor ha il movimento più alto del roster v0.1 e usa questo vantaggio per occupare linee favorevoli, attraversare il campo e punire movimenti che diventano prevedibili.
Lo **Slancio** ha cap 4 e recupera 1 quando viene eseguito movimento; il valore iniziale non è ancora specificato. `InterceptShot` è la manifestazione più diretta della meccanica, ma richiede le decision boundary di E14; `PassingBlade`, `Deflection` e `Feint` coprono rispettivamente mobilità offensiva, difesa reattiva e previsione.
Il controgioco consiste nel cambiare rotta, usare coperture e LOS per negare le linee preparate, fare bait delle reazioni e impedire a Vektor di convertire mobilità in un duello favorevole.</x:v>
      </x:c>
    </x:row>
    <x:row r="8">
      <x:c r="A8" s="65" t="str">
        <x:v>MECH_STEEL_GUARD_METER</x:v>
      </x:c>
      <x:c r="B8" s="65" t="str">
        <x:v>ASSET_STEEL</x:v>
      </x:c>
      <x:c r="C8" s="65" t="str">
        <x:v>Steel</x:v>
      </x:c>
      <x:c r="D8" s="65" t="str">
        <x:v>Guard Meter</x:v>
      </x:c>
      <x:c r="E8" s="65" t="str">
        <x:v>Exclusive</x:v>
      </x:c>
      <x:c r="F8" s="65" t="str">
        <x:v>Primary Signature</x:v>
      </x:c>
      <x:c r="G8" s="65" t="str">
        <x:v>Interposition</x:v>
      </x:c>
      <x:c r="H8" s="65" t="str">
        <x:v>Resource, Reaction, Link</x:v>
      </x:c>
      <x:c r="I8" s="65" t="str">
        <x:v>Reaction, cover, ally protection, displacement</x:v>
      </x:c>
      <x:c r="J8" s="65" t="str">
        <x:v>Chi proteggo e quando intervengo?</x:v>
      </x:c>
      <x:c r="K8" s="65" t="str">
        <x:v>Guard / Integrità Scudo e stato di protezione</x:v>
      </x:c>
      <x:c r="L8" s="65" t="str">
        <x:v>Intercetta danno; blocca displacement; protegge tramite cover; reaction difensiva valida</x:v>
      </x:c>
      <x:c r="M8" s="65" t="str">
        <x:v>Migliora interposition, guard reaction, displacement difensivo e protezione alleato</x:v>
      </x:c>
      <x:c r="N8" s="65" t="str">
        <x:v>Ignorarlo; separarlo dagli alleati; displacement; pressione da più angoli</x:v>
      </x:c>
      <x:c r="O8" s="65" t="str">
        <x:v>Team-visible / public quando l'effetto è osservabile</x:v>
      </x:c>
      <x:c r="P8" s="65" t="str">
        <x:v>DATA_SPEC</x:v>
      </x:c>
      <x:c r="Q8" s="65" t="str">
        <x:v>v0.2</x:v>
      </x:c>
      <x:c r="R8" s="65"/>
      <x:c r="S8" s="15" t="str">
        <x:v>**Guard Meter** ruota attorno all'**Integrità Scudo** e alla scelta di quando spendere capacità difensiva per proteggere una linea o un alleato. Steel è pensato come Guardian/Vanguard: rende costoso attaccare attraverso di lui, ma deve scegliere dove impegnarsi.
L'Integrità Scudo parte da 100, ha cap 100 e rigenera 15 nel Cleanup secondo la specifica v0.2. Le abilità combinano spinta, cover direzionale, interposizione e controllo ad area.
Il controgioco previsto è separarlo dagli alleati, attaccare da più angoli, forzare displacement e consumare lo scudo prima dello scambio decisivo. Tutti questi valori sono **DESIGN_SPEC v0.2**, non runtime canonico della v0.1.</x:v>
      </x:c>
    </x:row>
    <x:row r="9">
      <x:c r="A9" s="65" t="str">
        <x:v>MECH_AURORA_FROZEN_DOMAIN</x:v>
      </x:c>
      <x:c r="B9" s="65" t="str">
        <x:v>ASSET_AURORA</x:v>
      </x:c>
      <x:c r="C9" s="65" t="str">
        <x:v>Aurora</x:v>
      </x:c>
      <x:c r="D9" s="65" t="str">
        <x:v>Frozen Domain</x:v>
      </x:c>
      <x:c r="E9" s="65" t="str">
        <x:v>Exclusive</x:v>
      </x:c>
      <x:c r="F9" s="65" t="str">
        <x:v>Primary Signature</x:v>
      </x:c>
      <x:c r="G9" s="65" t="str">
        <x:v>Ice paths</x:v>
      </x:c>
      <x:c r="H9" s="65" t="str">
        <x:v>Territory, Environment, Movement</x:v>
      </x:c>
      <x:c r="I9" s="65" t="str">
        <x:v>Dynamic terrain, ice, LOS, movement costs</x:v>
      </x:c>
      <x:c r="J9" s="65" t="str">
        <x:v>Quale parte della mappa trasformo?</x:v>
      </x:c>
      <x:c r="K9" s="65" t="str">
        <x:v>Celle ghiacciate controllate e relative trasformazioni del terreno</x:v>
      </x:c>
      <x:c r="L9" s="65" t="str">
        <x:v>Crea, estende o converte ghiaccio tramite abilità e interazioni ambientali</x:v>
      </x:c>
      <x:c r="M9" s="65" t="str">
        <x:v>Mobilità sul dominio, modifica archi/costi, setup e requisiti di abilità, sacrificio/riconversione</x:v>
      </x:c>
      <x:c r="N9" s="65" t="str">
        <x:v>Fuoco; riconversione terreno; evitare aree preparate; spezzare la continuità</x:v>
      </x:c>
      <x:c r="O9" s="65" t="str">
        <x:v>Public/observed tramite stato mappa</x:v>
      </x:c>
      <x:c r="P9" s="65" t="str">
        <x:v>DATA_SPEC</x:v>
      </x:c>
      <x:c r="Q9" s="65" t="str">
        <x:v>v0.2</x:v>
      </x:c>
      <x:c r="R9" s="65"/>
      <x:c r="S9" s="15" t="str">
        <x:v>**Frozen Domain** trasforma porzioni della mappa in un dominio di ghiaccio utile ad Aurora. La meccanica è territoriale: crea o converte terreno, modifica movimento e visibilità, e costruisce condizioni che rendono più forti le sue scelte successive.
Le **Cariche Termiche** hanno cap 100, start 40 e rigenerazione 10 tramite azioni Cold nella specifica v0.2. Il kit lega attacco lineare, decoy/ostacoli, AoE e oscuramento a trasformazioni del terreno.
Il controgioco previsto è usare fuoco o altre riconversioni ambientali, evitare le aree preparate e spezzare la continuità del dominio. I dettagli sono ancora **DESIGN_SPEC**.</x:v>
      </x:c>
    </x:row>
    <x:row r="10">
      <x:c r="A10" s="65" t="str">
        <x:v>MECH_MURDOCK_FOCUS_FIRE_SECTOR</x:v>
      </x:c>
      <x:c r="B10" s="65" t="str">
        <x:v>ASSET_MURDOCK</x:v>
      </x:c>
      <x:c r="C10" s="65" t="str">
        <x:v>Murdock</x:v>
      </x:c>
      <x:c r="D10" s="65" t="str">
        <x:v>Focus + Fire Sector</x:v>
      </x:c>
      <x:c r="E10" s="65" t="str">
        <x:v>Exclusive</x:v>
      </x:c>
      <x:c r="F10" s="65" t="str">
        <x:v>Primary Signature</x:v>
      </x:c>
      <x:c r="G10" s="65" t="str">
        <x:v>Patient Overwatch</x:v>
      </x:c>
      <x:c r="H10" s="65" t="str">
        <x:v>Resource, Reaction, Facing</x:v>
      </x:c>
      <x:c r="I10" s="65" t="str">
        <x:v>Facing, LOS, Overwatch, cover</x:v>
      </x:c>
      <x:c r="J10" s="65" t="str">
        <x:v>Quale settore voglio dominare?</x:v>
      </x:c>
      <x:c r="K10" s="65" t="str">
        <x:v>Focus + settore/facing controllato</x:v>
      </x:c>
      <x:c r="L10" s="65" t="str">
        <x:v>Mantiene posizione e facing; controlla lo stesso settore; evita displacement</x:v>
      </x:c>
      <x:c r="M10" s="65" t="str">
        <x:v>Potenzia Overwatch, controllo settore, range/precisione e penetrazione situazionale</x:v>
      </x:c>
      <x:c r="N10" s="65" t="str">
        <x:v>Smoke; displacement; flank; chiusura LOS</x:v>
      </x:c>
      <x:c r="O10" s="65" t="str">
        <x:v>Stato personale/team; settore armato osservabile secondo regole di informazione</x:v>
      </x:c>
      <x:c r="P10" s="65" t="str">
        <x:v>DATA_SPEC</x:v>
      </x:c>
      <x:c r="Q10" s="65" t="str">
        <x:v>v0.2</x:v>
      </x:c>
      <x:c r="R10" s="65"/>
      <x:c r="S10" s="15" t="str">
        <x:v>**Focus + Fire Sector** definisce Murdock come marksman di controllo. La sua forza non è muoversi continuamente, ma scegliere un settore, mantenerlo sotto osservazione e rendere rischioso attraversarlo.
Le **Munizioni Speciali** hanno cap e start 4; la specifica v0.2 prevede rigenerazione 1 tramite Wait/Reload. Rail shot, suppressive lane, sensori e mine servono tutti a costruire informazione e pressione lungo linee precise.
Il controgioco previsto è negare LOS con smoke, spostarlo, fiancheggiarlo o obbligarlo a cambiare settore. I numeri sono **DESIGN_SPEC v0.2**.</x:v>
      </x:c>
    </x:row>
    <x:row r="11">
      <x:c r="A11" s="65" t="str">
        <x:v>MECH_KWANG_ELECTRIC_ANCHOR</x:v>
      </x:c>
      <x:c r="B11" s="65" t="str">
        <x:v>ASSET_KWANG</x:v>
      </x:c>
      <x:c r="C11" s="65" t="str">
        <x:v>Kwang</x:v>
      </x:c>
      <x:c r="D11" s="65" t="str">
        <x:v>Electric Anchor</x:v>
      </x:c>
      <x:c r="E11" s="65" t="str">
        <x:v>Exclusive</x:v>
      </x:c>
      <x:c r="F11" s="65" t="str">
        <x:v>Primary Signature</x:v>
      </x:c>
      <x:c r="G11" s="65" t="str">
        <x:v>Conductive link</x:v>
      </x:c>
      <x:c r="H11" s="65" t="str">
        <x:v>PersistentEntity, Link, Environment</x:v>
      </x:c>
      <x:c r="I11" s="65" t="str">
        <x:v>Persistent object, electricity, water, geometry</x:v>
      </x:c>
      <x:c r="J11" s="65" t="str">
        <x:v>Dove piazzo il mio punto di potere?</x:v>
      </x:c>
      <x:c r="K11" s="65" t="str">
        <x:v>Anchor persistente e link geometrico Kwang↔Anchor</x:v>
      </x:c>
      <x:c r="L11" s="65" t="str">
        <x:v>Piazza e mantiene Sword Anchor; sfrutta acqua/metallo e geometria</x:v>
      </x:c>
      <x:c r="M11" s="65" t="str">
        <x:v>Modifica geometria abilità, zone elettrificabili, reposition e minaccia territoriale</x:v>
      </x:c>
      <x:c r="N11" s="65" t="str">
        <x:v>Distruzione/disable; grounding; uscire dalla geometria; interrompere condizioni ambientali</x:v>
      </x:c>
      <x:c r="O11" s="65" t="str">
        <x:v>Persistent entity public/observed secondo visibilità</x:v>
      </x:c>
      <x:c r="P11" s="65" t="str">
        <x:v>DATA_SPEC</x:v>
      </x:c>
      <x:c r="Q11" s="65" t="str">
        <x:v>v0.2</x:v>
      </x:c>
      <x:c r="R11" s="65"/>
      <x:c r="S11" s="15" t="str">
        <x:v>**Electric Anchor** usa una spada-ancora persistente come secondo punto geometrico del personaggio. Kwang non controlla solo la propria cella: piazza un riferimento sul campo e costruisce abilità, ritorni e propagazioni attorno alla relazione Kwang↔Anchor.
La **Carica Tempesta** ha cap 100, start 25, rigenera 15 tramite interazioni elettriche e decade di 10 per turno nella specifica v0.2. Il kit combina attacco ravvicinato, ancoraggio, ritorno e catena elettrica con acqua e metallo.
Il controgioco previsto è disabilitare o rendere inutile l'Anchor, fare grounding e uscire dalla geometria preparata. Tutto resta **DESIGN_SPEC v0.2**.</x:v>
      </x:c>
    </x:row>
    <x:row r="12">
      <x:c r="A12" s="31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3"/>
    </x:row>
    <x:row r="13">
      <x:c r="A13" s="31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3"/>
    </x:row>
    <x:row r="14">
      <x:c r="A14" s="31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3"/>
    </x:row>
    <x:row r="15">
      <x:c r="A15" s="31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3"/>
    </x:row>
    <x:row r="16">
      <x:c r="A16" s="31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3"/>
    </x:row>
    <x:row r="17">
      <x:c r="A17" s="31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3"/>
    </x:row>
    <x:row r="18">
      <x:c r="A18" s="31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3"/>
    </x:row>
    <x:row r="19">
      <x:c r="A19" s="31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3"/>
    </x:row>
    <x:row r="20">
      <x:c r="A20" s="31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3"/>
    </x:row>
    <x:row r="21">
      <x:c r="A21" s="31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3"/>
    </x:row>
    <x:row r="22">
      <x:c r="A22" s="31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3"/>
    </x:row>
    <x:row r="23">
      <x:c r="A23" s="31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3"/>
    </x:row>
    <x:row r="24">
      <x:c r="A24" s="31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3"/>
    </x:row>
    <x:row r="25">
      <x:c r="A25" s="31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3"/>
    </x:row>
    <x:row r="26">
      <x:c r="A26" s="31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3"/>
    </x:row>
    <x:row r="27">
      <x:c r="A27" s="31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3"/>
    </x:row>
    <x:row r="28">
      <x:c r="A28" s="31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3"/>
    </x:row>
    <x:row r="29">
      <x:c r="A29" s="31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3"/>
    </x:row>
    <x:row r="30">
      <x:c r="A30" s="31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3"/>
    </x:row>
    <x:row r="31">
      <x:c r="A31" s="31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3"/>
    </x:row>
    <x:row r="32">
      <x:c r="A32" s="31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3"/>
    </x:row>
    <x:row r="33">
      <x:c r="A33" s="31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3"/>
    </x:row>
    <x:row r="34">
      <x:c r="A34" s="31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3"/>
    </x:row>
    <x:row r="35">
      <x:c r="A35" s="31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3"/>
    </x:row>
    <x:row r="36">
      <x:c r="A36" s="31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3"/>
    </x:row>
    <x:row r="37">
      <x:c r="A37" s="31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3"/>
    </x:row>
    <x:row r="38">
      <x:c r="A38" s="31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3"/>
    </x:row>
    <x:row r="39">
      <x:c r="A39" s="31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3"/>
    </x:row>
    <x:row r="40">
      <x:c r="A40" s="31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3"/>
    </x:row>
    <x:row r="41">
      <x:c r="A41" s="34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6"/>
    </x:row>
  </x:sheetData>
  <x:mergeCells>
    <x:mergeCell ref="A1:R1"/>
  </x:mergeCells>
  <x:dataValidations count="2">
    <x:dataValidation type="list" sqref="E4:E41">
      <x:formula1>"Exclusive,SharedGroup,Universal"</x:formula1>
    </x:dataValidation>
    <x:dataValidation type="list" sqref="P4:P41">
      <x:formula1>"SIGNATURE_DEFINED,KIT_DRAFT,DATA_SPEC,IMPLEMENTATION_READY,IMPLEMENTED,AUTOMATED_TESTED,PLAYTEST,RELEASE_READY"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8" hidden="0" customWidth="1"/>
    <x:col min="15" max="15" width="28" hidden="0" customWidth="1"/>
    <x:col min="16" max="16" width="28" hidden="0" customWidth="1"/>
    <x:col min="17" max="17" width="18" hidden="0" customWidth="1"/>
    <x:col min="18" max="18" width="18" hidden="0" customWidth="1"/>
    <x:col min="19" max="19" width="18" hidden="0" customWidth="1"/>
    <x:col min="20" max="20" width="46" hidden="0" customWidth="1"/>
    <x:col min="21" max="21" width="42" hidden="0" customWidth="1"/>
    <x:col min="22" max="22" width="42" hidden="0" customWidth="1"/>
  </x:cols>
  <x:sheetData>
    <x:row r="1" ht="28" customHeight="1">
      <x:c r="A1" s="53" t="str">
        <x:v>Abilità — v0.1 canonico + v0.2 design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 s="63" t="str">
        <x:v>Ability_ID</x:v>
      </x:c>
      <x:c r="B3" s="63" t="str">
        <x:v>Hero_Key</x:v>
      </x:c>
      <x:c r="C3" s="63" t="str">
        <x:v>Hero</x:v>
      </x:c>
      <x:c r="D3" s="63" t="str">
        <x:v>Nome</x:v>
      </x:c>
      <x:c r="E3" s="63" t="str">
        <x:v>Categoria</x:v>
      </x:c>
      <x:c r="F3" s="63" t="str">
        <x:v>Priorità</x:v>
      </x:c>
      <x:c r="G3" s="63" t="str">
        <x:v>Costo_Risorsa</x:v>
      </x:c>
      <x:c r="H3" s="63" t="str">
        <x:v>Cooldown_Turni</x:v>
      </x:c>
      <x:c r="I3" s="63" t="str">
        <x:v>Range_Hex</x:v>
      </x:c>
      <x:c r="J3" s="63" t="str">
        <x:v>AoE_Radius</x:v>
      </x:c>
      <x:c r="K3" s="63" t="str">
        <x:v>Danno_Base</x:v>
      </x:c>
      <x:c r="L3" s="63" t="str">
        <x:v>Control_Strength</x:v>
      </x:c>
      <x:c r="M3" s="63" t="str">
        <x:v>Durata_Turni</x:v>
      </x:c>
      <x:c r="N3" s="63" t="str">
        <x:v>Loss_Contact_Policy</x:v>
      </x:c>
      <x:c r="O3" s="63" t="str">
        <x:v>Interazione_Terreno</x:v>
      </x:c>
      <x:c r="P3" s="63" t="str">
        <x:v>Gameplay_Tags</x:v>
      </x:c>
      <x:c r="Q3" s="63" t="str">
        <x:v>Data_Status</x:v>
      </x:c>
      <x:c r="R3" s="58" t="str">
        <x:v>ReleaseVersion</x:v>
      </x:c>
      <x:c r="S3" s="58" t="str">
        <x:v>Implementation_Status</x:v>
      </x:c>
      <x:c r="T3" s="58" t="str">
        <x:v>Source_Note</x:v>
      </x:c>
      <x:c r="U3" s="15" t="str">
        <x:v>Descrizione_Wiki</x:v>
      </x:c>
      <x:c r="V3" s="15" t="str">
        <x:v>Uso_Tattico_Wiki</x:v>
      </x:c>
    </x:row>
    <x:row r="4">
      <x:c r="A4" s="65" t="str">
        <x:v>Flux.ArcPulse</x:v>
      </x:c>
      <x:c r="B4" s="65" t="str">
        <x:v>ASSET_FLUX</x:v>
      </x:c>
      <x:c r="C4" s="65" t="str">
        <x:v>Flux</x:v>
      </x:c>
      <x:c r="D4" s="65" t="str">
        <x:v>Arc Pulse</x:v>
      </x:c>
      <x:c r="E4" s="65" t="str">
        <x:v>Attacco base</x:v>
      </x:c>
      <x:c r="F4" s="65" t="n">
        <x:v>50</x:v>
      </x:c>
      <x:c r="G4" s="65"/>
      <x:c r="H4" s="65" t="n">
        <x:v>0</x:v>
      </x:c>
      <x:c r="I4" s="65" t="n">
        <x:v>4</x:v>
      </x:c>
      <x:c r="J4" s="65" t="n">
        <x:v>0</x:v>
      </x:c>
      <x:c r="K4" s="65" t="n">
        <x:v>22</x:v>
      </x:c>
      <x:c r="L4" s="65" t="n">
        <x:v>0</x:v>
      </x:c>
      <x:c r="M4" s="65" t="n">
        <x:v>0</x:v>
      </x:c>
      <x:c r="N4" s="65" t="str">
        <x:v>Fallback.Cancel</x:v>
      </x:c>
      <x:c r="O4" s="65" t="str">
        <x:v>Attacco base medio raggio</x:v>
      </x:c>
      <x:c r="P4" s="65" t="str">
        <x:v>Ability.Offense.Electric</x:v>
      </x:c>
      <x:c r="Q4" s="65" t="str">
        <x:v>CANONICAL</x:v>
      </x:c>
      <x:c r="R4" s="61" t="str">
        <x:v>v0.1</x:v>
      </x:c>
      <x:c r="S4" s="61" t="str">
        <x:v>IMPLEMENTED</x:v>
      </x:c>
      <x:c r="T4" s="61" t="str">
        <x:v>MakeBasicAttack(4): 22 danni, range 4.</x:v>
      </x:c>
      <x:c r="U4" s="15" t="str">
        <x:v>Arc Pulse è l'attacco base affidabile di Flux. Infligge 22 danni a range 4 e non richiede setup ambientale: serve come opzione stabile quando non conviene investire una risorsa o preparare una combo.</x:v>
      </x:c>
      <x:c r="V4" s="15" t="str">
        <x:v>È la scelta a basso impegno del kit: mantiene pressione a medio raggio senza consumare cooldown. Non riceve il bonus `Wet` di `LinearDischarge`.</x:v>
      </x:c>
    </x:row>
    <x:row r="5">
      <x:c r="A5" s="65" t="str">
        <x:v>Flux.LinearDischarge</x:v>
      </x:c>
      <x:c r="B5" s="65" t="str">
        <x:v>ASSET_FLUX</x:v>
      </x:c>
      <x:c r="C5" s="65" t="str">
        <x:v>Flux</x:v>
      </x:c>
      <x:c r="D5" s="65" t="str">
        <x:v>Linear Discharge</x:v>
      </x:c>
      <x:c r="E5" s="65" t="str">
        <x:v>Attacco lineare</x:v>
      </x:c>
      <x:c r="F5" s="65" t="n">
        <x:v>55</x:v>
      </x:c>
      <x:c r="G5" s="65"/>
      <x:c r="H5" s="65" t="n">
        <x:v>2</x:v>
      </x:c>
      <x:c r="I5" s="65" t="n">
        <x:v>5</x:v>
      </x:c>
      <x:c r="J5" s="65" t="n">
        <x:v>0</x:v>
      </x:c>
      <x:c r="K5" s="65" t="n">
        <x:v>24</x:v>
      </x:c>
      <x:c r="L5" s="65" t="n">
        <x:v>0</x:v>
      </x:c>
      <x:c r="M5" s="65" t="n">
        <x:v>0</x:v>
      </x:c>
      <x:c r="N5" s="65" t="str">
        <x:v>Fallback.AttackCell</x:v>
      </x:c>
      <x:c r="O5" s="65" t="str">
        <x:v>+8 danni contro bersaglio Wet</x:v>
      </x:c>
      <x:c r="P5" s="65" t="str">
        <x:v>Ability.Offense.Line.Electric</x:v>
      </x:c>
      <x:c r="Q5" s="65" t="str">
        <x:v>CANONICAL</x:v>
      </x:c>
      <x:c r="R5" s="61" t="str">
        <x:v>v0.1</x:v>
      </x:c>
      <x:c r="S5" s="61" t="str">
        <x:v>IMPLEMENTED</x:v>
      </x:c>
      <x:c r="T5" s="61" t="str">
        <x:v>Bonus Wet gestito separatamente dal danno base.</x:v>
      </x:c>
      <x:c r="U5" s="15" t="str">
        <x:v>Linear Discharge è l'attacco lineare firma di Flux. Infligge 24 danni a range 5 e, se il bersaglio è `Wet`, aggiunge +8 danni. Il fallback è `AttackCell`, quindi la linea dichiarata resta rilevante anche se la situazione cambia durante la resolution.</x:v>
      </x:c>
      <x:c r="V5" s="15" t="str">
        <x:v>Premia il setup di Riva o di altre fonti di `Wet`. Le varianti spostano l'abilità verso burst singolo (`Concentrated`) o pressione multi-target (`Branched`).</x:v>
      </x:c>
    </x:row>
    <x:row r="6">
      <x:c r="A6" s="65" t="str">
        <x:v>Flux.ConductiveNode</x:v>
      </x:c>
      <x:c r="B6" s="65" t="str">
        <x:v>ASSET_FLUX</x:v>
      </x:c>
      <x:c r="C6" s="65" t="str">
        <x:v>Flux</x:v>
      </x:c>
      <x:c r="D6" s="65" t="str">
        <x:v>Conductive Node</x:v>
      </x:c>
      <x:c r="E6" s="65" t="str">
        <x:v>Setup/Prep</x:v>
      </x:c>
      <x:c r="F6" s="65" t="n">
        <x:v>35</x:v>
      </x:c>
      <x:c r="G6" s="65"/>
      <x:c r="H6" s="65" t="n">
        <x:v>2</x:v>
      </x:c>
      <x:c r="I6" s="65" t="n">
        <x:v>0</x:v>
      </x:c>
      <x:c r="J6" s="65" t="n">
        <x:v>0</x:v>
      </x:c>
      <x:c r="K6" s="65" t="n">
        <x:v>0</x:v>
      </x:c>
      <x:c r="L6" s="65" t="n">
        <x:v>0</x:v>
      </x:c>
      <x:c r="M6" s="65" t="n">
        <x:v>2</x:v>
      </x:c>
      <x:c r="N6" s="65" t="str">
        <x:v>Fallback.Cancel</x:v>
      </x:c>
      <x:c r="O6" s="65" t="str">
        <x:v>Rende conduttiva una cella per 2 turni; range 0 è placeholder tecnico corrente</x:v>
      </x:c>
      <x:c r="P6" s="65" t="str">
        <x:v>Ability.Environment.Setup</x:v>
      </x:c>
      <x:c r="Q6" s="65" t="str">
        <x:v>CANONICAL</x:v>
      </x:c>
      <x:c r="R6" s="61" t="str">
        <x:v>v0.1</x:v>
      </x:c>
      <x:c r="S6" s="61" t="str">
        <x:v>PARTIAL</x:v>
      </x:c>
      <x:c r="T6" s="61" t="str">
        <x:v>Effetto di conduttività non completamente rappresentato nel modello dell'azione.</x:v>
      </x:c>
      <x:c r="U6" s="15" t="str">
        <x:v>Conductive Node è un'azione di setup in Prep che rende conduttiva una cella per 2 turni. Serve a estendere il concetto di Conduction dalla sola condizione `Wet` alla topologia ambientale.</x:v>
      </x:c>
      <x:c r="V6" s="15" t="str">
        <x:v>Il comportamento completo della cella conduttiva è ancora `PARTIAL`; il range 0 nel dato corrente è un placeholder tecnico e non va interpretato come scelta di bilanciamento finale.</x:v>
      </x:c>
    </x:row>
    <x:row r="7">
      <x:c r="A7" s="65" t="str">
        <x:v>Flux.Overload</x:v>
      </x:c>
      <x:c r="B7" s="65" t="str">
        <x:v>ASSET_FLUX</x:v>
      </x:c>
      <x:c r="C7" s="65" t="str">
        <x:v>Flux</x:v>
      </x:c>
      <x:c r="D7" s="65" t="str">
        <x:v>Overload</x:v>
      </x:c>
      <x:c r="E7" s="65" t="str">
        <x:v>AoE</x:v>
      </x:c>
      <x:c r="F7" s="65" t="n">
        <x:v>65</x:v>
      </x:c>
      <x:c r="G7" s="65"/>
      <x:c r="H7" s="65" t="n">
        <x:v>3</x:v>
      </x:c>
      <x:c r="I7" s="65" t="n">
        <x:v>3</x:v>
      </x:c>
      <x:c r="J7" s="65" t="n">
        <x:v>1</x:v>
      </x:c>
      <x:c r="K7" s="65" t="n">
        <x:v>18</x:v>
      </x:c>
      <x:c r="L7" s="65" t="n">
        <x:v>0</x:v>
      </x:c>
      <x:c r="M7" s="65" t="n">
        <x:v>0</x:v>
      </x:c>
      <x:c r="N7" s="65" t="str">
        <x:v>Fallback.AttackCell</x:v>
      </x:c>
      <x:c r="O7" s="65" t="str">
        <x:v>Interrupt dispositivi previsto; danno AoE implementabile</x:v>
      </x:c>
      <x:c r="P7" s="65" t="str">
        <x:v>Ability.Offense.AOE.Electric</x:v>
      </x:c>
      <x:c r="Q7" s="65" t="str">
        <x:v>CANONICAL</x:v>
      </x:c>
      <x:c r="R7" s="61" t="str">
        <x:v>v0.1</x:v>
      </x:c>
      <x:c r="S7" s="61" t="str">
        <x:v>PARTIAL</x:v>
      </x:c>
      <x:c r="T7" s="61" t="str">
        <x:v>Danno 18/raggio1; interrupt dispositivi dipende da sistemi futuri.</x:v>
      </x:c>
      <x:c r="U7" s="15" t="str">
        <x:v>Overload è l'AoE di Flux: 18 danni, range 3, raggio 1 e cooldown 3. La specifica prevede anche un'interruzione dei dispositivi, ma questa parte dipende da sistemi non ancora completati.</x:v>
      </x:c>
      <x:c r="V7" s="15" t="str">
        <x:v>È il payoff ad area del kit quando più bersagli o elementi del campo sono raccolti nello stesso spazio. Oggi il danno AoE è la parte più definita; l'interazione con dispositivi resta `PARTIAL`.</x:v>
      </x:c>
    </x:row>
    <x:row r="8">
      <x:c r="A8" s="65" t="str">
        <x:v>Flux.ReactiveCapacitor</x:v>
      </x:c>
      <x:c r="B8" s="65" t="str">
        <x:v>ASSET_FLUX</x:v>
      </x:c>
      <x:c r="C8" s="65" t="str">
        <x:v>Flux</x:v>
      </x:c>
      <x:c r="D8" s="65" t="str">
        <x:v>Reactive Capacitor</x:v>
      </x:c>
      <x:c r="E8" s="65" t="str">
        <x:v>Reazione/Counter</x:v>
      </x:c>
      <x:c r="F8" s="65" t="n">
        <x:v>20</x:v>
      </x:c>
      <x:c r="G8" s="65"/>
      <x:c r="H8" s="65" t="n">
        <x:v>3</x:v>
      </x:c>
      <x:c r="I8" s="65" t="n">
        <x:v>0</x:v>
      </x:c>
      <x:c r="J8" s="65" t="n">
        <x:v>0</x:v>
      </x:c>
      <x:c r="K8" s="65" t="n">
        <x:v>10</x:v>
      </x:c>
      <x:c r="L8" s="65" t="n">
        <x:v>0</x:v>
      </x:c>
      <x:c r="M8" s="65" t="n">
        <x:v>0</x:v>
      </x:c>
      <x:c r="N8" s="65" t="str">
        <x:v>Reaction.Trigger.DirectHit</x:v>
      </x:c>
      <x:c r="O8" s="65" t="str">
        <x:v>Scudo 15 a sé + 10 danni all'attaccante</x:v>
      </x:c>
      <x:c r="P8" s="65" t="str">
        <x:v>Ability.Reaction.Counter</x:v>
      </x:c>
      <x:c r="Q8" s="65" t="str">
        <x:v>CANONICAL</x:v>
      </x:c>
      <x:c r="R8" s="61" t="str">
        <x:v>v0.1</x:v>
      </x:c>
      <x:c r="S8" s="61" t="str">
        <x:v>IMPLEMENTED</x:v>
      </x:c>
      <x:c r="T8" s="61" t="str">
        <x:v>Riusa Action.Counter con effetti componibili.</x:v>
      </x:c>
      <x:c r="U8" s="15" t="str">
        <x:v>Reactive Capacitor è la reazione difensiva/offensiva di Flux. Quando subisce un attacco diretto, applica scudo 15 a Flux e 10 danni all'attaccante, con cooldown 3.</x:v>
      </x:c>
      <x:c r="V8" s="15" t="str">
        <x:v>Nella v0.1 attuale è una reazione deterministica che riusa `Action.Counter`; non apre ancora una finestra live di scelta. Il modello `opportunity → commit` arriva con E14.</x:v>
      </x:c>
    </x:row>
    <x:row r="9">
      <x:c r="A9" s="65" t="str">
        <x:v>Riva.PressureJet</x:v>
      </x:c>
      <x:c r="B9" s="65" t="str">
        <x:v>ASSET_RIVA</x:v>
      </x:c>
      <x:c r="C9" s="65" t="str">
        <x:v>Riva</x:v>
      </x:c>
      <x:c r="D9" s="65" t="str">
        <x:v>Pressure Jet</x:v>
      </x:c>
      <x:c r="E9" s="65" t="str">
        <x:v>Attacco base lineare</x:v>
      </x:c>
      <x:c r="F9" s="65" t="n">
        <x:v>50</x:v>
      </x:c>
      <x:c r="G9" s="65"/>
      <x:c r="H9" s="65" t="n">
        <x:v>0</x:v>
      </x:c>
      <x:c r="I9" s="65" t="n">
        <x:v>5</x:v>
      </x:c>
      <x:c r="J9" s="65" t="n">
        <x:v>0</x:v>
      </x:c>
      <x:c r="K9" s="65" t="n">
        <x:v>16</x:v>
      </x:c>
      <x:c r="L9" s="65" t="n">
        <x:v>1</x:v>
      </x:c>
      <x:c r="M9" s="65" t="n">
        <x:v>1</x:v>
      </x:c>
      <x:c r="N9" s="65" t="str">
        <x:v>Fallback.AttackCell</x:v>
      </x:c>
      <x:c r="O9" s="65" t="str">
        <x:v>Applica Wet 1 e Push 1</x:v>
      </x:c>
      <x:c r="P9" s="65" t="str">
        <x:v>Ability.Offense.Line.Water</x:v>
      </x:c>
      <x:c r="Q9" s="65" t="str">
        <x:v>CANONICAL</x:v>
      </x:c>
      <x:c r="R9" s="61" t="str">
        <x:v>v0.1</x:v>
      </x:c>
      <x:c r="S9" s="61" t="str">
        <x:v>IMPLEMENTED</x:v>
      </x:c>
      <x:c r="T9" s="61" t="str">
        <x:v>Attacco base tematico: 16 danni, range 5.</x:v>
      </x:c>
      <x:c r="U9" s="15" t="str">
        <x:v>Pressure Jet è l'attacco base tematico di Riva: una linea a range 5 che infligge 16 danni, applica `Wet` per 1 turno e `Push 1`.</x:v>
      </x:c>
      <x:c r="V9" s="15" t="str">
        <x:v>Fa tre cose con una sola azione leggibile: danno leggero, spostamento e setup. Il suo valore principale è spesso la posizione finale o il `Wet` lasciato al team, non il danno grezzo.</x:v>
      </x:c>
    </x:row>
    <x:row r="10">
      <x:c r="A10" s="65" t="str">
        <x:v>Riva.CircularTide</x:v>
      </x:c>
      <x:c r="B10" s="65" t="str">
        <x:v>ASSET_RIVA</x:v>
      </x:c>
      <x:c r="C10" s="65" t="str">
        <x:v>Riva</x:v>
      </x:c>
      <x:c r="D10" s="65" t="str">
        <x:v>Circular Tide</x:v>
      </x:c>
      <x:c r="E10" s="65" t="str">
        <x:v>AoE support</x:v>
      </x:c>
      <x:c r="F10" s="65" t="n">
        <x:v>60</x:v>
      </x:c>
      <x:c r="G10" s="65"/>
      <x:c r="H10" s="65" t="n">
        <x:v>2</x:v>
      </x:c>
      <x:c r="I10" s="65" t="n">
        <x:v>4</x:v>
      </x:c>
      <x:c r="J10" s="65" t="n">
        <x:v>1</x:v>
      </x:c>
      <x:c r="K10" s="65" t="n">
        <x:v>0</x:v>
      </x:c>
      <x:c r="L10" s="65" t="n">
        <x:v>0</x:v>
      </x:c>
      <x:c r="M10" s="65" t="n">
        <x:v>1</x:v>
      </x:c>
      <x:c r="N10" s="65" t="str">
        <x:v>Fallback.AttackCell</x:v>
      </x:c>
      <x:c r="O10" s="65" t="str">
        <x:v>Cura 18 agli alleati e applica Wet ai nemici</x:v>
      </x:c>
      <x:c r="P10" s="65" t="str">
        <x:v>Ability.Support.AOE.Water</x:v>
      </x:c>
      <x:c r="Q10" s="65" t="str">
        <x:v>CANONICAL</x:v>
      </x:c>
      <x:c r="R10" s="61" t="str">
        <x:v>v0.1</x:v>
      </x:c>
      <x:c r="S10" s="61" t="str">
        <x:v>PARTIAL</x:v>
      </x:c>
      <x:c r="T10" s="61" t="str">
        <x:v>Resolver ally/enemy differenziato nella stessa AoE è limite dichiarato.</x:v>
      </x:c>
      <x:c r="U10" s="15" t="str">
        <x:v>Circular Tide è l'AoE di supporto di Riva. A range 4 e raggio 1, cura 18 agli alleati e applica `Wet` ai nemici per 1 turno.</x:v>
      </x:c>
      <x:c r="V10" s="15" t="str">
        <x:v>La specifica è `PARTIAL` perché il resolver corrente non differenzia ancora pienamente effetti alleati/nemici nella stessa AoE. Le varianti scelgono fra più cura (`Healing`) o più controllo (`Impact`).</x:v>
      </x:c>
    </x:row>
    <x:row r="11">
      <x:c r="A11" s="65" t="str">
        <x:v>Riva.FluidTrail</x:v>
      </x:c>
      <x:c r="B11" s="65" t="str">
        <x:v>ASSET_RIVA</x:v>
      </x:c>
      <x:c r="C11" s="65" t="str">
        <x:v>Riva</x:v>
      </x:c>
      <x:c r="D11" s="65" t="str">
        <x:v>Fluid Trail</x:v>
      </x:c>
      <x:c r="E11" s="65" t="str">
        <x:v>Dash</x:v>
      </x:c>
      <x:c r="F11" s="65" t="n">
        <x:v>30</x:v>
      </x:c>
      <x:c r="G11" s="65"/>
      <x:c r="H11" s="65" t="n">
        <x:v>2</x:v>
      </x:c>
      <x:c r="I11" s="65" t="n">
        <x:v>3</x:v>
      </x:c>
      <x:c r="J11" s="65" t="n">
        <x:v>0</x:v>
      </x:c>
      <x:c r="K11" s="65" t="n">
        <x:v>0</x:v>
      </x:c>
      <x:c r="L11" s="65" t="n">
        <x:v>0</x:v>
      </x:c>
      <x:c r="M11" s="65" t="n">
        <x:v>0</x:v>
      </x:c>
      <x:c r="N11" s="65" t="str">
        <x:v>Fallback.Stop</x:v>
      </x:c>
      <x:c r="O11" s="65" t="str">
        <x:v>Dash 3 e crea acqua lungo il percorso</x:v>
      </x:c>
      <x:c r="P11" s="65" t="str">
        <x:v>Ability.Mobility.Dash.Water</x:v>
      </x:c>
      <x:c r="Q11" s="65" t="str">
        <x:v>CANONICAL</x:v>
      </x:c>
      <x:c r="R11" s="61" t="str">
        <x:v>v0.1</x:v>
      </x:c>
      <x:c r="S11" s="61" t="str">
        <x:v>PARTIAL</x:v>
      </x:c>
      <x:c r="T11" s="61" t="str">
        <x:v>Movimento lineare dichiarato; creazione acqua lungo path dipende dal terreno dinamico.</x:v>
      </x:c>
      <x:c r="U11" s="15" t="str">
        <x:v>Fluid Trail è un Dash lineare di 3 celle che dovrebbe lasciare acqua lungo il percorso. Il movimento è la parte già rappresentata; la creazione dinamica dell'acqua lungo il path resta parziale.</x:v>
      </x:c>
      <x:c r="V11" s="15" t="str">
        <x:v>È insieme mobilità e setup: Riva cambia posizione mentre prepara celle utili a Wet, conduzione e controllo ambientale. Il fallback è `Stop` se il Dash non può essere completato.</x:v>
      </x:c>
    </x:row>
    <x:row r="12">
      <x:c r="A12" s="65" t="str">
        <x:v>Riva.MistVeil</x:v>
      </x:c>
      <x:c r="B12" s="65" t="str">
        <x:v>ASSET_RIVA</x:v>
      </x:c>
      <x:c r="C12" s="65" t="str">
        <x:v>Riva</x:v>
      </x:c>
      <x:c r="D12" s="65" t="str">
        <x:v>Mist Veil</x:v>
      </x:c>
      <x:c r="E12" s="65" t="str">
        <x:v>Prep/AoE</x:v>
      </x:c>
      <x:c r="F12" s="65" t="n">
        <x:v>35</x:v>
      </x:c>
      <x:c r="G12" s="65"/>
      <x:c r="H12" s="65" t="n">
        <x:v>3</x:v>
      </x:c>
      <x:c r="I12" s="65" t="n">
        <x:v>0</x:v>
      </x:c>
      <x:c r="J12" s="65" t="n">
        <x:v>1</x:v>
      </x:c>
      <x:c r="K12" s="65" t="n">
        <x:v>0</x:v>
      </x:c>
      <x:c r="L12" s="65" t="n">
        <x:v>0</x:v>
      </x:c>
      <x:c r="M12" s="65" t="n">
        <x:v>0</x:v>
      </x:c>
      <x:c r="N12" s="65" t="str">
        <x:v>Fallback.Cancel</x:v>
      </x:c>
      <x:c r="O12" s="65" t="str">
        <x:v>Crea fumo raggio 1; range 0 è placeholder tecnico corrente</x:v>
      </x:c>
      <x:c r="P12" s="65" t="str">
        <x:v>Ability.Vision.Smoke</x:v>
      </x:c>
      <x:c r="Q12" s="65" t="str">
        <x:v>CANONICAL</x:v>
      </x:c>
      <x:c r="R12" s="61" t="str">
        <x:v>v0.1</x:v>
      </x:c>
      <x:c r="S12" s="61" t="str">
        <x:v>PARTIAL</x:v>
      </x:c>
      <x:c r="T12" s="61" t="str">
        <x:v>Effetto cella dinamico non completamente rappresentato nell'azione.</x:v>
      </x:c>
      <x:c r="U12" s="15" t="str">
        <x:v>Mist Veil è un'azione di Prep che crea fumo in un'area di raggio 1. È pensata per modificare la leggibilità e le linee di visione del campo, non per infliggere danno.</x:v>
      </x:c>
      <x:c r="V12" s="15" t="str">
        <x:v>L'effetto dinamico sulla cella è ancora `PARTIAL`; il range 0 corrente è un placeholder tecnico. Il valore tattico è proteggere un attraversamento, rompere una linea o preparare un cambio di posizione.</x:v>
      </x:c>
    </x:row>
    <x:row r="13">
      <x:c r="A13" s="65" t="str">
        <x:v>Riva.FlowReaction</x:v>
      </x:c>
      <x:c r="B13" s="65" t="str">
        <x:v>ASSET_RIVA</x:v>
      </x:c>
      <x:c r="C13" s="65" t="str">
        <x:v>Riva</x:v>
      </x:c>
      <x:c r="D13" s="65" t="str">
        <x:v>Flow Reaction</x:v>
      </x:c>
      <x:c r="E13" s="65" t="str">
        <x:v>Reazione/Reposition</x:v>
      </x:c>
      <x:c r="F13" s="65" t="n">
        <x:v>36</x:v>
      </x:c>
      <x:c r="G13" s="65"/>
      <x:c r="H13" s="65" t="n">
        <x:v>3</x:v>
      </x:c>
      <x:c r="I13" s="65" t="n">
        <x:v>0</x:v>
      </x:c>
      <x:c r="J13" s="65" t="n">
        <x:v>0</x:v>
      </x:c>
      <x:c r="K13" s="65" t="n">
        <x:v>0</x:v>
      </x:c>
      <x:c r="L13" s="65" t="n">
        <x:v>0</x:v>
      </x:c>
      <x:c r="M13" s="65" t="n">
        <x:v>0</x:v>
      </x:c>
      <x:c r="N13" s="65" t="str">
        <x:v>DecisionBoundary.E14</x:v>
      </x:c>
      <x:c r="O13" s="65" t="str">
        <x:v>Reposition 1 dopo un attacco subito</x:v>
      </x:c>
      <x:c r="P13" s="65" t="str">
        <x:v>Ability.Reaction.Movement</x:v>
      </x:c>
      <x:c r="Q13" s="65" t="str">
        <x:v>CANONICAL</x:v>
      </x:c>
      <x:c r="R13" s="61" t="str">
        <x:v>v0.1</x:v>
      </x:c>
      <x:c r="S13" s="61" t="str">
        <x:v>DEFERRED_E14</x:v>
      </x:c>
      <x:c r="T13" s="61" t="str">
        <x:v>Slot None nel dato corrente per evitare false attivazioni.</x:v>
      </x:c>
      <x:c r="U13" s="15" t="str">
        <x:v>Flow Reaction prevede un `Reposition 1` dopo che Riva subisce un attacco. È una reazione di movimento e quindi richiede una decision boundary durante la resolution.</x:v>
      </x:c>
      <x:c r="V13" s="15" t="str">
        <x:v>Per evitare TurnLog falsi è esplicitamente `DEFERRED_E14`: nel dato corrente non occupa ancora uno slot Reaction attivo.</x:v>
      </x:c>
    </x:row>
    <x:row r="14">
      <x:c r="A14" s="65" t="str">
        <x:v>Bastion.ImpactShot</x:v>
      </x:c>
      <x:c r="B14" s="65" t="str">
        <x:v>ASSET_BASTION</x:v>
      </x:c>
      <x:c r="C14" s="65" t="str">
        <x:v>Bastion</x:v>
      </x:c>
      <x:c r="D14" s="65" t="str">
        <x:v>Impact Shot</x:v>
      </x:c>
      <x:c r="E14" s="65" t="str">
        <x:v>Attacco base</x:v>
      </x:c>
      <x:c r="F14" s="65" t="n">
        <x:v>50</x:v>
      </x:c>
      <x:c r="G14" s="65"/>
      <x:c r="H14" s="65" t="n">
        <x:v>0</x:v>
      </x:c>
      <x:c r="I14" s="65" t="n">
        <x:v>3</x:v>
      </x:c>
      <x:c r="J14" s="65" t="n">
        <x:v>0</x:v>
      </x:c>
      <x:c r="K14" s="65" t="n">
        <x:v>24</x:v>
      </x:c>
      <x:c r="L14" s="65" t="n">
        <x:v>0</x:v>
      </x:c>
      <x:c r="M14" s="65" t="n">
        <x:v>0</x:v>
      </x:c>
      <x:c r="N14" s="65" t="str">
        <x:v>Fallback.Cancel</x:v>
      </x:c>
      <x:c r="O14" s="65" t="str">
        <x:v>Attacco cinetico corto</x:v>
      </x:c>
      <x:c r="P14" s="65" t="str">
        <x:v>Ability.Offense.Kinetic</x:v>
      </x:c>
      <x:c r="Q14" s="65" t="str">
        <x:v>CANONICAL</x:v>
      </x:c>
      <x:c r="R14" s="61" t="str">
        <x:v>v0.1</x:v>
      </x:c>
      <x:c r="S14" s="61" t="str">
        <x:v>IMPLEMENTED</x:v>
      </x:c>
      <x:c r="T14" s="61" t="str">
        <x:v>24 danni, range 3.</x:v>
      </x:c>
      <x:c r="U14" s="15" t="str">
        <x:v>Impact Shot è l'attacco base di Bastion: 24 danni a range 3. È semplice e corto, coerente con un Guardian che vuole stare vicino alle linee e agli alleati che protegge.</x:v>
      </x:c>
      <x:c r="V14" s="15" t="str">
        <x:v>Serve come pressione diretta quando non è necessario spendere il turno per costruire o riconfigurare il campo.</x:v>
      </x:c>
    </x:row>
    <x:row r="15">
      <x:c r="A15" s="65" t="str">
        <x:v>Bastion.KineticPanel</x:v>
      </x:c>
      <x:c r="B15" s="65" t="str">
        <x:v>ASSET_BASTION</x:v>
      </x:c>
      <x:c r="C15" s="65" t="str">
        <x:v>Bastion</x:v>
      </x:c>
      <x:c r="D15" s="65" t="str">
        <x:v>Kinetic Panel</x:v>
      </x:c>
      <x:c r="E15" s="65" t="str">
        <x:v>Prep/Cover</x:v>
      </x:c>
      <x:c r="F15" s="65" t="n">
        <x:v>30</x:v>
      </x:c>
      <x:c r="G15" s="65"/>
      <x:c r="H15" s="65" t="n">
        <x:v>2</x:v>
      </x:c>
      <x:c r="I15" s="65" t="n">
        <x:v>1</x:v>
      </x:c>
      <x:c r="J15" s="65" t="n">
        <x:v>0</x:v>
      </x:c>
      <x:c r="K15" s="65" t="n">
        <x:v>0</x:v>
      </x:c>
      <x:c r="L15" s="65" t="n">
        <x:v>0</x:v>
      </x:c>
      <x:c r="M15" s="65" t="n">
        <x:v>0</x:v>
      </x:c>
      <x:c r="N15" s="65" t="str">
        <x:v>Fallback.Cancel</x:v>
      </x:c>
      <x:c r="O15" s="65" t="str">
        <x:v>Crea copertura da 30 HP</x:v>
      </x:c>
      <x:c r="P15" s="65" t="str">
        <x:v>Ability.Defense.Cover</x:v>
      </x:c>
      <x:c r="Q15" s="65" t="str">
        <x:v>CANONICAL</x:v>
      </x:c>
      <x:c r="R15" s="61" t="str">
        <x:v>v0.1</x:v>
      </x:c>
      <x:c r="S15" s="61" t="str">
        <x:v>PARTIAL</x:v>
      </x:c>
      <x:c r="T15" s="61" t="str">
        <x:v>Dipende dal sistema strutture; varianti definiscono integrità/durata.</x:v>
      </x:c>
      <x:c r="U15" s="15" t="str">
        <x:v>Kinetic Panel è un'azione di Prep che crea una copertura con integrità base 30. È la manifestazione principale di Field Architecture: Bastion modifica il campo prima che gli attacchi del Blast vengano risolti.</x:v>
      </x:c>
      <x:c r="V15" s="15" t="str">
        <x:v>La creazione completa della struttura è `PARTIAL`. Le varianti scambiano durata, integrità e flessibilità: `Reinforced` sale a 45 ma dura 1 turno; `Adaptive` scende a 25 e concede una rotazione gratuita.</x:v>
      </x:c>
    </x:row>
    <x:row r="16">
      <x:c r="A16" s="65" t="str">
        <x:v>Bastion.Reconfigure</x:v>
      </x:c>
      <x:c r="B16" s="65" t="str">
        <x:v>ASSET_BASTION</x:v>
      </x:c>
      <x:c r="C16" s="65" t="str">
        <x:v>Bastion</x:v>
      </x:c>
      <x:c r="D16" s="65" t="str">
        <x:v>Reconfigure</x:v>
      </x:c>
      <x:c r="E16" s="65" t="str">
        <x:v>Prep/Map</x:v>
      </x:c>
      <x:c r="F16" s="65" t="n">
        <x:v>31</x:v>
      </x:c>
      <x:c r="G16" s="65"/>
      <x:c r="H16" s="65" t="n">
        <x:v>2</x:v>
      </x:c>
      <x:c r="I16" s="65" t="n">
        <x:v>1</x:v>
      </x:c>
      <x:c r="J16" s="65" t="n">
        <x:v>0</x:v>
      </x:c>
      <x:c r="K16" s="65" t="n">
        <x:v>0</x:v>
      </x:c>
      <x:c r="L16" s="65" t="n">
        <x:v>0</x:v>
      </x:c>
      <x:c r="M16" s="65" t="n">
        <x:v>0</x:v>
      </x:c>
      <x:c r="N16" s="65" t="str">
        <x:v>Fallback.Cancel</x:v>
      </x:c>
      <x:c r="O16" s="65" t="str">
        <x:v>Sposta o ruota una copertura esistente</x:v>
      </x:c>
      <x:c r="P16" s="65" t="str">
        <x:v>Ability.Control.Map</x:v>
      </x:c>
      <x:c r="Q16" s="65" t="str">
        <x:v>CANONICAL</x:v>
      </x:c>
      <x:c r="R16" s="61" t="str">
        <x:v>v0.1</x:v>
      </x:c>
      <x:c r="S16" s="61" t="str">
        <x:v>PARTIAL</x:v>
      </x:c>
      <x:c r="T16" s="61" t="str">
        <x:v>Dipende dal targeting delle strutture.</x:v>
      </x:c>
      <x:c r="U16" s="15" t="str">
        <x:v>Reconfigure sposta o ruota una copertura esistente entro range 1. Non crea nuovo valore dal nulla: converte una struttura già presente nella geometria più utile per il turno corrente.</x:v>
      </x:c>
      <x:c r="V16" s="15" t="str">
        <x:v>È `PARTIAL` perché dipende dal targeting delle strutture. Il suo payoff è cambiare linee e angoli senza dover ricreare una copertura.</x:v>
      </x:c>
    </x:row>
    <x:row r="17">
      <x:c r="A17" s="65" t="str">
        <x:v>Bastion.Ram</x:v>
      </x:c>
      <x:c r="B17" s="65" t="str">
        <x:v>ASSET_BASTION</x:v>
      </x:c>
      <x:c r="C17" s="65" t="str">
        <x:v>Bastion</x:v>
      </x:c>
      <x:c r="D17" s="65" t="str">
        <x:v>Ram</x:v>
      </x:c>
      <x:c r="E17" s="65" t="str">
        <x:v>Charge</x:v>
      </x:c>
      <x:c r="F17" s="65" t="n">
        <x:v>35</x:v>
      </x:c>
      <x:c r="G17" s="65"/>
      <x:c r="H17" s="65" t="n">
        <x:v>2</x:v>
      </x:c>
      <x:c r="I17" s="65" t="n">
        <x:v>3</x:v>
      </x:c>
      <x:c r="J17" s="65" t="n">
        <x:v>0</x:v>
      </x:c>
      <x:c r="K17" s="65" t="n">
        <x:v>20</x:v>
      </x:c>
      <x:c r="L17" s="65" t="n">
        <x:v>1</x:v>
      </x:c>
      <x:c r="M17" s="65" t="n">
        <x:v>0</x:v>
      </x:c>
      <x:c r="N17" s="65" t="str">
        <x:v>Fallback.Stop</x:v>
      </x:c>
      <x:c r="O17" s="65" t="str">
        <x:v>Charge 3, 20 danni, Push 1</x:v>
      </x:c>
      <x:c r="P17" s="65" t="str">
        <x:v>Ability.Mobility.Charge.Kinetic</x:v>
      </x:c>
      <x:c r="Q17" s="65" t="str">
        <x:v>CANONICAL</x:v>
      </x:c>
      <x:c r="R17" s="61" t="str">
        <x:v>v0.1</x:v>
      </x:c>
      <x:c r="S17" s="61" t="str">
        <x:v>IMPLEMENTED</x:v>
      </x:c>
      <x:c r="T17" s="61" t="str">
        <x:v>Riusa Action.Charge e LinearCharge.</x:v>
      </x:c>
      <x:c r="U17" s="15" t="str">
        <x:v>Ram riusa la semantica di `Action.Charge`: movimento lineare fino a 3 celle, 20 danni al primo impatto e `Push 1`, con cooldown 2.</x:v>
      </x:c>
      <x:c r="V17" s="15" t="str">
        <x:v>È l'opzione con cui Bastion trasforma massa e presenza in spostamento offensivo. Essendo una charge, può essere fermata dalla topologia e usa `Fallback.Stop`.</x:v>
      </x:c>
    </x:row>
    <x:row r="18">
      <x:c r="A18" s="65" t="str">
        <x:v>Bastion.Interposition</x:v>
      </x:c>
      <x:c r="B18" s="65" t="str">
        <x:v>ASSET_BASTION</x:v>
      </x:c>
      <x:c r="C18" s="65" t="str">
        <x:v>Bastion</x:v>
      </x:c>
      <x:c r="D18" s="65" t="str">
        <x:v>Interposition</x:v>
      </x:c>
      <x:c r="E18" s="65" t="str">
        <x:v>Reazione/Intercept</x:v>
      </x:c>
      <x:c r="F18" s="65" t="n">
        <x:v>10</x:v>
      </x:c>
      <x:c r="G18" s="65"/>
      <x:c r="H18" s="65" t="n">
        <x:v>3</x:v>
      </x:c>
      <x:c r="I18" s="65" t="n">
        <x:v>2</x:v>
      </x:c>
      <x:c r="J18" s="65" t="n">
        <x:v>0</x:v>
      </x:c>
      <x:c r="K18" s="65" t="n">
        <x:v>0</x:v>
      </x:c>
      <x:c r="L18" s="65" t="n">
        <x:v>0</x:v>
      </x:c>
      <x:c r="M18" s="65" t="n">
        <x:v>0</x:v>
      </x:c>
      <x:c r="N18" s="65" t="str">
        <x:v>Reaction.Trigger.AllyTargeted</x:v>
      </x:c>
      <x:c r="O18" s="65" t="str">
        <x:v>Bastion diventa il bersaglio di un attacco diretto a un alleato entro 2</x:v>
      </x:c>
      <x:c r="P18" s="65" t="str">
        <x:v>Ability.Reaction.Intercept</x:v>
      </x:c>
      <x:c r="Q18" s="65" t="str">
        <x:v>CANONICAL</x:v>
      </x:c>
      <x:c r="R18" s="61" t="str">
        <x:v>v0.1</x:v>
      </x:c>
      <x:c r="S18" s="61" t="str">
        <x:v>IMPLEMENTED</x:v>
      </x:c>
      <x:c r="T18" s="61" t="str">
        <x:v>Riusa Action.Intercept; cooldown eroe 3.</x:v>
      </x:c>
      <x:c r="U18" s="15" t="str">
        <x:v>Interposition è la reazione firma di protezione: quando un alleato entro 2 celle è bersagliato da un attacco diretto, Bastion diventa il bersaglio del colpo.</x:v>
      </x:c>
      <x:c r="V18" s="15" t="str">
        <x:v>È già implementata riusando `Action.Intercept`. Non aggiunge danno o scudo: il suo valore è cambiare chi riceve l'attacco, sfruttando la maggiore resistenza di Bastion.</x:v>
      </x:c>
    </x:row>
    <x:row r="19">
      <x:c r="A19" s="65" t="str">
        <x:v>Vektor.PulseShot</x:v>
      </x:c>
      <x:c r="B19" s="65" t="str">
        <x:v>ASSET_VEKTOR</x:v>
      </x:c>
      <x:c r="C19" s="65" t="str">
        <x:v>Vektor</x:v>
      </x:c>
      <x:c r="D19" s="65" t="str">
        <x:v>Pulse Shot</x:v>
      </x:c>
      <x:c r="E19" s="65" t="str">
        <x:v>Attacco base</x:v>
      </x:c>
      <x:c r="F19" s="65" t="n">
        <x:v>50</x:v>
      </x:c>
      <x:c r="G19" s="65"/>
      <x:c r="H19" s="65" t="n">
        <x:v>0</x:v>
      </x:c>
      <x:c r="I19" s="65" t="n">
        <x:v>4</x:v>
      </x:c>
      <x:c r="J19" s="65" t="n">
        <x:v>0</x:v>
      </x:c>
      <x:c r="K19" s="65" t="n">
        <x:v>21</x:v>
      </x:c>
      <x:c r="L19" s="65" t="n">
        <x:v>0</x:v>
      </x:c>
      <x:c r="M19" s="65" t="n">
        <x:v>0</x:v>
      </x:c>
      <x:c r="N19" s="65" t="str">
        <x:v>Fallback.Cancel</x:v>
      </x:c>
      <x:c r="O19" s="65" t="str">
        <x:v>Attacco base medio raggio</x:v>
      </x:c>
      <x:c r="P19" s="65" t="str">
        <x:v>Ability.Offense.Kinetic</x:v>
      </x:c>
      <x:c r="Q19" s="65" t="str">
        <x:v>CANONICAL</x:v>
      </x:c>
      <x:c r="R19" s="61" t="str">
        <x:v>v0.1</x:v>
      </x:c>
      <x:c r="S19" s="61" t="str">
        <x:v>IMPLEMENTED</x:v>
      </x:c>
      <x:c r="T19" s="61" t="str">
        <x:v>21 danni, range 4.</x:v>
      </x:c>
      <x:c r="U19" s="15" t="str">
        <x:v>Pulse Shot è l'attacco base di Vektor: 21 danni a range 4. Offre pressione a medio raggio senza compromettere il posizionamento per le sue azioni predittive.</x:v>
      </x:c>
      <x:c r="V19" s="15" t="str">
        <x:v>È l'opzione neutra del kit quando non si vuole investire in una linea d'intercetto o in una Dash.</x:v>
      </x:c>
    </x:row>
    <x:row r="20">
      <x:c r="A20" s="61" t="str">
        <x:v>Vektor.InterceptShot</x:v>
      </x:c>
      <x:c r="B20" s="61" t="str">
        <x:v>ASSET_VEKTOR</x:v>
      </x:c>
      <x:c r="C20" s="61" t="str">
        <x:v>Vektor</x:v>
      </x:c>
      <x:c r="D20" s="61" t="str">
        <x:v>Intercept Shot</x:v>
      </x:c>
      <x:c r="E20" s="61" t="str">
        <x:v>Reazione/Overwatch</x:v>
      </x:c>
      <x:c r="F20" s="61" t="n">
        <x:v>30</x:v>
      </x:c>
      <x:c r="G20" s="61"/>
      <x:c r="H20" s="61" t="n">
        <x:v>2</x:v>
      </x:c>
      <x:c r="I20" s="61" t="n">
        <x:v>1</x:v>
      </x:c>
      <x:c r="J20" s="61" t="n">
        <x:v>0</x:v>
      </x:c>
      <x:c r="K20" s="61" t="n">
        <x:v>16</x:v>
      </x:c>
      <x:c r="L20" s="61" t="n">
        <x:v>1</x:v>
      </x:c>
      <x:c r="M20" s="61" t="n">
        <x:v>0</x:v>
      </x:c>
      <x:c r="N20" s="61" t="str">
        <x:v>DecisionBoundary.E14</x:v>
      </x:c>
      <x:c r="O20" s="61" t="str">
        <x:v>16 danni e stop movimento quando un nemico entra nella cella controllata</x:v>
      </x:c>
      <x:c r="P20" s="61" t="str">
        <x:v>Ability.Reaction.Overwatch</x:v>
      </x:c>
      <x:c r="Q20" s="61" t="str">
        <x:v>CANONICAL</x:v>
      </x:c>
      <x:c r="R20" s="61" t="str">
        <x:v>v0.1</x:v>
      </x:c>
      <x:c r="S20" s="61" t="str">
        <x:v>DEFERRED_E14</x:v>
      </x:c>
      <x:c r="T20" s="61" t="str">
        <x:v>Slot None nel dato corrente; trigger d'ingresso appartiene a E14.</x:v>
      </x:c>
      <x:c r="U20" s="15" t="str">
        <x:v>Intercept Shot prepara una punizione su movimento: quando un nemico entra nella cella o zona controllata, infligge 16 danni e interrompe il movimento.</x:v>
      </x:c>
      <x:c r="V20" s="15" t="str">
        <x:v>La meccanica dipende dalle finestre/decision boundary di E14 e quindi è `DEFERRED_E14`. Le varianti scambiano danno contro ampiezza della zona controllata.</x:v>
      </x:c>
    </x:row>
    <x:row r="21" ht="32" customHeight="1">
      <x:c r="A21" s="68" t="str">
        <x:v>Vektor.PassingBlade</x:v>
      </x:c>
      <x:c r="B21" s="68" t="str">
        <x:v>ASSET_VEKTOR</x:v>
      </x:c>
      <x:c r="C21" s="68" t="str">
        <x:v>Vektor</x:v>
      </x:c>
      <x:c r="D21" s="68" t="str">
        <x:v>Passing Blade</x:v>
      </x:c>
      <x:c r="E21" s="68" t="str">
        <x:v>Dash/Line</x:v>
      </x:c>
      <x:c r="F21" s="68" t="n">
        <x:v>30</x:v>
      </x:c>
      <x:c r="G21" s="68"/>
      <x:c r="H21" s="68" t="n">
        <x:v>2</x:v>
      </x:c>
      <x:c r="I21" s="68" t="n">
        <x:v>3</x:v>
      </x:c>
      <x:c r="J21" s="68" t="n">
        <x:v>0</x:v>
      </x:c>
      <x:c r="K21" s="68" t="n">
        <x:v>20</x:v>
      </x:c>
      <x:c r="L21" s="68" t="n">
        <x:v>0</x:v>
      </x:c>
      <x:c r="M21" s="68" t="n">
        <x:v>0</x:v>
      </x:c>
      <x:c r="N21" s="68" t="str">
        <x:v>Fallback.Stop</x:v>
      </x:c>
      <x:c r="O21" s="68" t="str">
        <x:v>Dash 3 lineare, 20 danni alle unità attraversate</x:v>
      </x:c>
      <x:c r="P21" s="68" t="str">
        <x:v>Ability.Mobility.Dash.Kinetic</x:v>
      </x:c>
      <x:c r="Q21" s="68" t="str">
        <x:v>CANONICAL</x:v>
      </x:c>
      <x:c r="R21" s="61" t="str">
        <x:v>v0.1</x:v>
      </x:c>
      <x:c r="S21" s="61" t="str">
        <x:v>IMPLEMENTED</x:v>
      </x:c>
      <x:c r="T21" s="61" t="str">
        <x:v>MovementStyle LinearDash.</x:v>
      </x:c>
      <x:c r="U21" s="15" t="str">
        <x:v>Passing Blade è un Dash lineare di 3 celle che infligge 20 danni alle unità attraversate. Usa `LinearDash`: attraversa la linea invece di fermarsi al primo bersaglio come una charge.</x:v>
      </x:c>
      <x:c r="V21" s="15" t="str">
        <x:v>È la conversione più diretta della mobilità di Vektor in pressione offensiva e permette di cambiare lato dello scontro mentre si produce danno.</x:v>
      </x:c>
    </x:row>
    <x:row r="22">
      <x:c r="A22" s="61" t="str">
        <x:v>Vektor.Deflection</x:v>
      </x:c>
      <x:c r="B22" s="61" t="str">
        <x:v>ASSET_VEKTOR</x:v>
      </x:c>
      <x:c r="C22" s="61" t="str">
        <x:v>Vektor</x:v>
      </x:c>
      <x:c r="D22" s="61" t="str">
        <x:v>Deflection</x:v>
      </x:c>
      <x:c r="E22" s="61" t="str">
        <x:v>Reazione/Deflect</x:v>
      </x:c>
      <x:c r="F22" s="61" t="n">
        <x:v>15</x:v>
      </x:c>
      <x:c r="G22" s="61"/>
      <x:c r="H22" s="61" t="n">
        <x:v>2</x:v>
      </x:c>
      <x:c r="I22" s="61" t="n">
        <x:v>0</x:v>
      </x:c>
      <x:c r="J22" s="61" t="n">
        <x:v>0</x:v>
      </x:c>
      <x:c r="K22" s="61" t="n">
        <x:v>0</x:v>
      </x:c>
      <x:c r="L22" s="61" t="n">
        <x:v>20</x:v>
      </x:c>
      <x:c r="M22" s="61" t="n">
        <x:v>0</x:v>
      </x:c>
      <x:c r="N22" s="61" t="str">
        <x:v>Reaction.Trigger.DirectHit</x:v>
      </x:c>
      <x:c r="O22" s="61" t="str">
        <x:v>Riduce di 20 il colpo diretto che l'ha innescata</x:v>
      </x:c>
      <x:c r="P22" s="61" t="str">
        <x:v>Ability.Reaction.Deflect</x:v>
      </x:c>
      <x:c r="Q22" s="61" t="str">
        <x:v>CANONICAL</x:v>
      </x:c>
      <x:c r="R22" s="61" t="str">
        <x:v>v0.1</x:v>
      </x:c>
      <x:c r="S22" s="61" t="str">
        <x:v>IMPLEMENTED</x:v>
      </x:c>
      <x:c r="T22" s="61" t="str">
        <x:v>Riusa Action.Deflect.</x:v>
      </x:c>
      <x:c r="U22" s="15" t="str">
        <x:v>Deflection è una reazione su attacco diretto che riduce di 20 il danno del colpo che l'ha innescata, con cooldown 2.</x:v>
      </x:c>
      <x:c r="V22" s="15" t="str">
        <x:v>È già implementata riusando `Action.Deflect`. A differenza di uno scudo persistente, modifica quel singolo colpo e non crea una riserva di HP temporanei.</x:v>
      </x:c>
    </x:row>
    <x:row r="23">
      <x:c r="A23" s="61" t="str">
        <x:v>Vektor.Feint</x:v>
      </x:c>
      <x:c r="B23" s="61" t="str">
        <x:v>ASSET_VEKTOR</x:v>
      </x:c>
      <x:c r="C23" s="61" t="str">
        <x:v>Vektor</x:v>
      </x:c>
      <x:c r="D23" s="61" t="str">
        <x:v>Feint</x:v>
      </x:c>
      <x:c r="E23" s="61" t="str">
        <x:v>Control</x:v>
      </x:c>
      <x:c r="F23" s="61" t="n">
        <x:v>40</x:v>
      </x:c>
      <x:c r="G23" s="61"/>
      <x:c r="H23" s="61" t="n">
        <x:v>2</x:v>
      </x:c>
      <x:c r="I23" s="61" t="n">
        <x:v>3</x:v>
      </x:c>
      <x:c r="J23" s="61" t="n">
        <x:v>0</x:v>
      </x:c>
      <x:c r="K23" s="61" t="n">
        <x:v>0</x:v>
      </x:c>
      <x:c r="L23" s="61" t="n">
        <x:v>1</x:v>
      </x:c>
      <x:c r="M23" s="61" t="n">
        <x:v>1</x:v>
      </x:c>
      <x:c r="N23" s="61" t="str">
        <x:v>Fallback.Cancel</x:v>
      </x:c>
      <x:c r="O23" s="61" t="str">
        <x:v>Marca una cella e concede Reposition; durata marcatura 1 turno</x:v>
      </x:c>
      <x:c r="P23" s="61" t="str">
        <x:v>Ability.Control.Prediction</x:v>
      </x:c>
      <x:c r="Q23" s="61" t="str">
        <x:v>CANONICAL</x:v>
      </x:c>
      <x:c r="R23" s="61" t="str">
        <x:v>v0.1</x:v>
      </x:c>
      <x:c r="S23" s="61" t="str">
        <x:v>PARTIAL</x:v>
      </x:c>
      <x:c r="T23" s="61" t="str">
        <x:v>Target cell + reposition non sono ancora completamente rappresentati.</x:v>
      </x:c>
      <x:c r="U23" s="15" t="str">
        <x:v>Feint è un'azione di controllo predittivo: marca una cella per 1 turno e concede un `Reposition`. La sua identità è legata alla previsione di dove il duello si sposterà, non al danno diretto.</x:v>
      </x:c>
      <x:c r="V23" s="15" t="str">
        <x:v>È ancora `PARTIAL` perché target-cell e reposition non sono completamente rappresentati nello stesso effetto runtime.</x:v>
      </x:c>
    </x:row>
    <x:row r="24">
      <x:c r="A24" s="61" t="str">
        <x:v>ABL_STEEL_01</x:v>
      </x:c>
      <x:c r="B24" s="61" t="str">
        <x:v>ASSET_STEEL</x:v>
      </x:c>
      <x:c r="C24" s="61" t="str">
        <x:v>Steel</x:v>
      </x:c>
      <x:c r="D24" s="61" t="str">
        <x:v>Shield Bash</x:v>
      </x:c>
      <x:c r="E24" s="61" t="str">
        <x:v>Attacco lineare</x:v>
      </x:c>
      <x:c r="F24" s="61" t="n">
        <x:v>60</x:v>
      </x:c>
      <x:c r="G24" s="61" t="n">
        <x:v>1</x:v>
      </x:c>
      <x:c r="H24" s="61" t="n">
        <x:v>1</x:v>
      </x:c>
      <x:c r="I24" s="61" t="n">
        <x:v>2</x:v>
      </x:c>
      <x:c r="J24" s="61" t="n">
        <x:v>0</x:v>
      </x:c>
      <x:c r="K24" s="61" t="n">
        <x:v>145</x:v>
      </x:c>
      <x:c r="L24" s="61" t="n">
        <x:v>2</x:v>
      </x:c>
      <x:c r="M24" s="61" t="n">
        <x:v>1</x:v>
      </x:c>
      <x:c r="N24" s="61" t="str">
        <x:v>FollowTrackedTarget</x:v>
      </x:c>
      <x:c r="O24" s="61" t="str">
        <x:v>Spinge 1; bonus contro bordo/coperte</x:v>
      </x:c>
      <x:c r="P24" s="61" t="str">
        <x:v>Ability.Offense.Melee</x:v>
      </x:c>
      <x:c r="Q24" s="61" t="str">
        <x:v>SOURCE_VALUE</x:v>
      </x:c>
      <x:c r="R24" s="61" t="str">
        <x:v>v0.2</x:v>
      </x:c>
      <x:c r="S24" s="61" t="str">
        <x:v>DESIGN_SPEC</x:v>
      </x:c>
      <x:c r="T24" s="61" t="str">
        <x:v>Valori design v0.2 ereditati dalla matrice precedente.</x:v>
      </x:c>
      <x:c r="U24" s="15" t="str">
        <x:v>Shield Bash è un attacco ravvicinato lineare: 145 danni, range 2 e spinta 1. La specifica prevede un bonus contro bordi o coperture.</x:v>
      </x:c>
      <x:c r="V24" s="15" t="str">
        <x:v>Serve a liberare spazio davanti a Steel e a convertire il controllo frontale in displacement. È `DESIGN_SPEC v0.2`.</x:v>
      </x:c>
    </x:row>
    <x:row r="25">
      <x:c r="A25" s="61" t="str">
        <x:v>ABL_STEEL_02</x:v>
      </x:c>
      <x:c r="B25" s="61" t="str">
        <x:v>ASSET_STEEL</x:v>
      </x:c>
      <x:c r="C25" s="61" t="str">
        <x:v>Steel</x:v>
      </x:c>
      <x:c r="D25" s="61" t="str">
        <x:v>Bulwark Arc</x:v>
      </x:c>
      <x:c r="E25" s="61" t="str">
        <x:v>Difesa/Cover</x:v>
      </x:c>
      <x:c r="F25" s="61" t="n">
        <x:v>35</x:v>
      </x:c>
      <x:c r="G25" s="61" t="n">
        <x:v>2</x:v>
      </x:c>
      <x:c r="H25" s="61" t="n">
        <x:v>2</x:v>
      </x:c>
      <x:c r="I25" s="61" t="n">
        <x:v>0</x:v>
      </x:c>
      <x:c r="J25" s="61" t="n">
        <x:v>3</x:v>
      </x:c>
      <x:c r="K25" s="61" t="n">
        <x:v>0</x:v>
      </x:c>
      <x:c r="L25" s="61" t="n">
        <x:v>0</x:v>
      </x:c>
      <x:c r="M25" s="61" t="n">
        <x:v>2</x:v>
      </x:c>
      <x:c r="N25" s="61" t="str">
        <x:v>PersistOnCell</x:v>
      </x:c>
      <x:c r="O25" s="61" t="str">
        <x:v>Crea cover direzionale e blocca proiettili</x:v>
      </x:c>
      <x:c r="P25" s="61" t="str">
        <x:v>Ability.Defense.Cover</x:v>
      </x:c>
      <x:c r="Q25" s="61" t="str">
        <x:v>SOURCE_VALUE</x:v>
      </x:c>
      <x:c r="R25" s="61" t="str">
        <x:v>v0.2</x:v>
      </x:c>
      <x:c r="S25" s="61" t="str">
        <x:v>DESIGN_SPEC</x:v>
      </x:c>
      <x:c r="T25" s="61" t="str">
        <x:v>Valori design v0.2 ereditati dalla matrice precedente.</x:v>
      </x:c>
      <x:c r="U25" s="15" t="str">
        <x:v>Bulwark Arc crea una copertura direzionale in un'area di raggio 3 per 2 turni, bloccando proiettili secondo la specifica.</x:v>
      </x:c>
      <x:c r="V25" s="15" t="str">
        <x:v>È l'abilità che rende fisico il ruolo di Guardian: sceglie una linea da proteggere. Il trade-off delle varianti riguarda durata, mobilità e qualità della cover.</x:v>
      </x:c>
    </x:row>
    <x:row r="26">
      <x:c r="A26" s="61" t="str">
        <x:v>ABL_STEEL_03</x:v>
      </x:c>
      <x:c r="B26" s="61" t="str">
        <x:v>ASSET_STEEL</x:v>
      </x:c>
      <x:c r="C26" s="61" t="str">
        <x:v>Steel</x:v>
      </x:c>
      <x:c r="D26" s="61" t="str">
        <x:v>Interpose</x:v>
      </x:c>
      <x:c r="E26" s="61" t="str">
        <x:v>Dash/Reazione</x:v>
      </x:c>
      <x:c r="F26" s="61" t="n">
        <x:v>20</x:v>
      </x:c>
      <x:c r="G26" s="61" t="n">
        <x:v>2</x:v>
      </x:c>
      <x:c r="H26" s="61" t="n">
        <x:v>3</x:v>
      </x:c>
      <x:c r="I26" s="61" t="n">
        <x:v>3</x:v>
      </x:c>
      <x:c r="J26" s="61" t="n">
        <x:v>0</x:v>
      </x:c>
      <x:c r="K26" s="61" t="n">
        <x:v>0</x:v>
      </x:c>
      <x:c r="L26" s="61" t="n">
        <x:v>1</x:v>
      </x:c>
      <x:c r="M26" s="61" t="n">
        <x:v>0</x:v>
      </x:c>
      <x:c r="N26" s="61" t="str">
        <x:v>FollowAlly</x:v>
      </x:c>
      <x:c r="O26" s="61" t="str">
        <x:v>Si interpone e trasferisce parte danno</x:v>
      </x:c>
      <x:c r="P26" s="61" t="str">
        <x:v>Ability.Reaction.Guard</x:v>
      </x:c>
      <x:c r="Q26" s="61" t="str">
        <x:v>SOURCE_VALUE</x:v>
      </x:c>
      <x:c r="R26" s="61" t="str">
        <x:v>v0.2</x:v>
      </x:c>
      <x:c r="S26" s="61" t="str">
        <x:v>DESIGN_SPEC</x:v>
      </x:c>
      <x:c r="T26" s="61" t="str">
        <x:v>Valori design v0.2 ereditati dalla matrice precedente.</x:v>
      </x:c>
      <x:c r="U26" s="15" t="str">
        <x:v>Interpose è un Dash/reazione fino a 3 celle che segue un alleato e permette a Steel di inserirsi nella linea di minaccia, trasferendo parte del danno.</x:v>
      </x:c>
      <x:c r="V26" s="15" t="str">
        <x:v>È il ponte tra mobilità e protezione. La specifica usa `FollowAlly` e resta da riallineare al modello di reaction più recente prima dell'implementazione.</x:v>
      </x:c>
    </x:row>
    <x:row r="27">
      <x:c r="A27" s="61" t="str">
        <x:v>ABL_STEEL_04</x:v>
      </x:c>
      <x:c r="B27" s="61" t="str">
        <x:v>ASSET_STEEL</x:v>
      </x:c>
      <x:c r="C27" s="61" t="str">
        <x:v>Steel</x:v>
      </x:c>
      <x:c r="D27" s="61" t="str">
        <x:v>Seismic Lock</x:v>
      </x:c>
      <x:c r="E27" s="61" t="str">
        <x:v>AoE controllo</x:v>
      </x:c>
      <x:c r="F27" s="61" t="n">
        <x:v>70</x:v>
      </x:c>
      <x:c r="G27" s="61" t="n">
        <x:v>3</x:v>
      </x:c>
      <x:c r="H27" s="61" t="n">
        <x:v>4</x:v>
      </x:c>
      <x:c r="I27" s="61" t="n">
        <x:v>1</x:v>
      </x:c>
      <x:c r="J27" s="61" t="n">
        <x:v>2</x:v>
      </x:c>
      <x:c r="K27" s="61" t="n">
        <x:v>90</x:v>
      </x:c>
      <x:c r="L27" s="61" t="n">
        <x:v>3</x:v>
      </x:c>
      <x:c r="M27" s="61" t="n">
        <x:v>1</x:v>
      </x:c>
      <x:c r="N27" s="61" t="str">
        <x:v>FireAtLastKnownCell</x:v>
      </x:c>
      <x:c r="O27" s="61" t="str">
        <x:v>Danneggia cover fragile; interrompe sprint</x:v>
      </x:c>
      <x:c r="P27" s="61" t="str">
        <x:v>Ability.Control.AOE</x:v>
      </x:c>
      <x:c r="Q27" s="61" t="str">
        <x:v>SOURCE_VALUE</x:v>
      </x:c>
      <x:c r="R27" s="61" t="str">
        <x:v>v0.2</x:v>
      </x:c>
      <x:c r="S27" s="61" t="str">
        <x:v>DESIGN_SPEC</x:v>
      </x:c>
      <x:c r="T27" s="61" t="str">
        <x:v>Valori design v0.2 ereditati dalla matrice precedente.</x:v>
      </x:c>
      <x:c r="U27" s="15" t="str">
        <x:v>Seismic Lock è un'AoE di controllo: 90 danni, range 1, raggio 2, controllo 3. La specifica include danno alle cover fragili e interruzione dello Sprint.</x:v>
      </x:c>
      <x:c r="V27" s="15" t="str">
        <x:v>Serve a rendere pericoloso avvicinarsi o attraversare la zona frontale di Steel. È `DESIGN_SPEC`.</x:v>
      </x:c>
    </x:row>
    <x:row r="28">
      <x:c r="A28" s="61" t="str">
        <x:v>ABL_AURORA_01</x:v>
      </x:c>
      <x:c r="B28" s="61" t="str">
        <x:v>ASSET_AURORA</x:v>
      </x:c>
      <x:c r="C28" s="61" t="str">
        <x:v>Aurora</x:v>
      </x:c>
      <x:c r="D28" s="61" t="str">
        <x:v>Glacial Lance</x:v>
      </x:c>
      <x:c r="E28" s="61" t="str">
        <x:v>Attacco lineare</x:v>
      </x:c>
      <x:c r="F28" s="61" t="n">
        <x:v>55</x:v>
      </x:c>
      <x:c r="G28" s="61" t="n">
        <x:v>1</x:v>
      </x:c>
      <x:c r="H28" s="61" t="n">
        <x:v>1</x:v>
      </x:c>
      <x:c r="I28" s="61" t="n">
        <x:v>5</x:v>
      </x:c>
      <x:c r="J28" s="61" t="n">
        <x:v>0</x:v>
      </x:c>
      <x:c r="K28" s="61" t="n">
        <x:v>120</x:v>
      </x:c>
      <x:c r="L28" s="61" t="n">
        <x:v>2</x:v>
      </x:c>
      <x:c r="M28" s="61" t="n">
        <x:v>1</x:v>
      </x:c>
      <x:c r="N28" s="61" t="str">
        <x:v>ContinueAlongPlannedLine</x:v>
      </x:c>
      <x:c r="O28" s="61" t="str">
        <x:v>Congela acqua superficiale</x:v>
      </x:c>
      <x:c r="P28" s="61" t="str">
        <x:v>Ability.Offense.Cold</x:v>
      </x:c>
      <x:c r="Q28" s="61" t="str">
        <x:v>SOURCE_VALUE</x:v>
      </x:c>
      <x:c r="R28" s="61" t="str">
        <x:v>v0.2</x:v>
      </x:c>
      <x:c r="S28" s="61" t="str">
        <x:v>DESIGN_SPEC</x:v>
      </x:c>
      <x:c r="T28" s="61" t="str">
        <x:v>Valori design v0.2 ereditati dalla matrice precedente.</x:v>
      </x:c>
      <x:c r="U28" s="15" t="str">
        <x:v>Glacial Lance è un attacco lineare Cold da 120 danni a range 5. Continua lungo la linea pianificata e può congelare acqua superficiale.</x:v>
      </x:c>
      <x:c r="V28" s="15" t="str">
        <x:v>Combina danno e trasformazione del terreno, creando materiale per Frozen Domain. È `DESIGN_SPEC v0.2`.</x:v>
      </x:c>
    </x:row>
    <x:row r="29">
      <x:c r="A29" s="61" t="str">
        <x:v>ABL_AURORA_02</x:v>
      </x:c>
      <x:c r="B29" s="61" t="str">
        <x:v>ASSET_AURORA</x:v>
      </x:c>
      <x:c r="C29" s="61" t="str">
        <x:v>Aurora</x:v>
      </x:c>
      <x:c r="D29" s="61" t="str">
        <x:v>Frozen Simulacrum</x:v>
      </x:c>
      <x:c r="E29" s="61" t="str">
        <x:v>Dash/Decoy</x:v>
      </x:c>
      <x:c r="F29" s="61" t="n">
        <x:v>25</x:v>
      </x:c>
      <x:c r="G29" s="61" t="n">
        <x:v>2</x:v>
      </x:c>
      <x:c r="H29" s="61" t="n">
        <x:v>3</x:v>
      </x:c>
      <x:c r="I29" s="61" t="n">
        <x:v>4</x:v>
      </x:c>
      <x:c r="J29" s="61" t="n">
        <x:v>0</x:v>
      </x:c>
      <x:c r="K29" s="61" t="n">
        <x:v>0</x:v>
      </x:c>
      <x:c r="L29" s="61" t="n">
        <x:v>1</x:v>
      </x:c>
      <x:c r="M29" s="61" t="n">
        <x:v>1</x:v>
      </x:c>
      <x:c r="N29" s="61" t="str">
        <x:v>PersistOnCell</x:v>
      </x:c>
      <x:c r="O29" s="61" t="str">
        <x:v>Crea ostacolo/decoy e modifica archi</x:v>
      </x:c>
      <x:c r="P29" s="61" t="str">
        <x:v>Ability.Mobility.Terrain</x:v>
      </x:c>
      <x:c r="Q29" s="61" t="str">
        <x:v>SOURCE_VALUE</x:v>
      </x:c>
      <x:c r="R29" s="61" t="str">
        <x:v>v0.2</x:v>
      </x:c>
      <x:c r="S29" s="61" t="str">
        <x:v>DESIGN_SPEC</x:v>
      </x:c>
      <x:c r="T29" s="61" t="str">
        <x:v>Valori design v0.2 ereditati dalla matrice precedente.</x:v>
      </x:c>
      <x:c r="U29" s="15" t="str">
        <x:v>Frozen Simulacrum è un Dash/Decoy a range 4 che lascia un ostacolo o simulacro persistente e può modificare archi.</x:v>
      </x:c>
      <x:c r="V29" s="15" t="str">
        <x:v>Aurora usa il movimento per cambiare anche la geometria dietro di sé. È una specifica di design, non ancora runtime.</x:v>
      </x:c>
    </x:row>
    <x:row r="30">
      <x:c r="A30" s="61" t="str">
        <x:v>ABL_AURORA_03</x:v>
      </x:c>
      <x:c r="B30" s="61" t="str">
        <x:v>ASSET_AURORA</x:v>
      </x:c>
      <x:c r="C30" s="61" t="str">
        <x:v>Aurora</x:v>
      </x:c>
      <x:c r="D30" s="61" t="str">
        <x:v>Hoarfrost Ring</x:v>
      </x:c>
      <x:c r="E30" s="61" t="str">
        <x:v>AoE circolare</x:v>
      </x:c>
      <x:c r="F30" s="61" t="n">
        <x:v>65</x:v>
      </x:c>
      <x:c r="G30" s="61" t="n">
        <x:v>3</x:v>
      </x:c>
      <x:c r="H30" s="61" t="n">
        <x:v>4</x:v>
      </x:c>
      <x:c r="I30" s="61" t="n">
        <x:v>4</x:v>
      </x:c>
      <x:c r="J30" s="61" t="n">
        <x:v>2</x:v>
      </x:c>
      <x:c r="K30" s="61" t="n">
        <x:v>75</x:v>
      </x:c>
      <x:c r="L30" s="61" t="n">
        <x:v>3</x:v>
      </x:c>
      <x:c r="M30" s="61" t="n">
        <x:v>2</x:v>
      </x:c>
      <x:c r="N30" s="61" t="str">
        <x:v>FireAtLastKnownCell</x:v>
      </x:c>
      <x:c r="O30" s="61" t="str">
        <x:v>Rallenta; crea ghiaccio</x:v>
      </x:c>
      <x:c r="P30" s="61" t="str">
        <x:v>Ability.Control.AOE.Cold</x:v>
      </x:c>
      <x:c r="Q30" s="61" t="str">
        <x:v>SOURCE_VALUE</x:v>
      </x:c>
      <x:c r="R30" s="61" t="str">
        <x:v>v0.2</x:v>
      </x:c>
      <x:c r="S30" s="61" t="str">
        <x:v>DESIGN_SPEC</x:v>
      </x:c>
      <x:c r="T30" s="61" t="str">
        <x:v>Valori design v0.2 ereditati dalla matrice precedente.</x:v>
      </x:c>
      <x:c r="U30" s="15" t="str">
        <x:v>Hoarfrost Ring è un'AoE Cold da 75 danni, range 4 e raggio 2, con controllo 3 e durata 2. Crea ghiaccio e rallenta.</x:v>
      </x:c>
      <x:c r="V30" s="15" t="str">
        <x:v>È il principale strumento per estendere Frozen Domain su una zona ampia e rendere costoso attraversarla.</x:v>
      </x:c>
    </x:row>
    <x:row r="31">
      <x:c r="A31" s="61" t="str">
        <x:v>ABL_AURORA_04</x:v>
      </x:c>
      <x:c r="B31" s="61" t="str">
        <x:v>ASSET_AURORA</x:v>
      </x:c>
      <x:c r="C31" s="61" t="str">
        <x:v>Aurora</x:v>
      </x:c>
      <x:c r="D31" s="61" t="str">
        <x:v>Whiteout</x:v>
      </x:c>
      <x:c r="E31" s="61" t="str">
        <x:v>Visione/Stealth</x:v>
      </x:c>
      <x:c r="F31" s="61" t="n">
        <x:v>40</x:v>
      </x:c>
      <x:c r="G31" s="61" t="n">
        <x:v>2</x:v>
      </x:c>
      <x:c r="H31" s="61" t="n">
        <x:v>4</x:v>
      </x:c>
      <x:c r="I31" s="61" t="n">
        <x:v>5</x:v>
      </x:c>
      <x:c r="J31" s="61" t="n">
        <x:v>2</x:v>
      </x:c>
      <x:c r="K31" s="61" t="n">
        <x:v>0</x:v>
      </x:c>
      <x:c r="L31" s="61" t="n">
        <x:v>2</x:v>
      </x:c>
      <x:c r="M31" s="61" t="n">
        <x:v>2</x:v>
      </x:c>
      <x:c r="N31" s="61" t="str">
        <x:v>PersistOnArea</x:v>
      </x:c>
      <x:c r="O31" s="61" t="str">
        <x:v>Fumo freddo: riduce identification, non cover</x:v>
      </x:c>
      <x:c r="P31" s="61" t="str">
        <x:v>Ability.Vision.Obscure</x:v>
      </x:c>
      <x:c r="Q31" s="61" t="str">
        <x:v>SOURCE_VALUE</x:v>
      </x:c>
      <x:c r="R31" s="61" t="str">
        <x:v>v0.2</x:v>
      </x:c>
      <x:c r="S31" s="61" t="str">
        <x:v>DESIGN_SPEC</x:v>
      </x:c>
      <x:c r="T31" s="61" t="str">
        <x:v>Valori design v0.2 ereditati dalla matrice precedente.</x:v>
      </x:c>
      <x:c r="U31" s="15" t="str">
        <x:v>Whiteout crea un'area di fumo freddo a range 5 e raggio 2 per 2 turni. Riduce Identification senza comportarsi come copertura fisica.</x:v>
      </x:c>
      <x:c r="V31" s="15" t="str">
        <x:v>Serve a separare visibilità e protezione: oscura informazione e targeting senza creare una parete. È `DESIGN_SPEC`.</x:v>
      </x:c>
    </x:row>
    <x:row r="32">
      <x:c r="A32" s="61" t="str">
        <x:v>ABL_MURDOCK_01</x:v>
      </x:c>
      <x:c r="B32" s="61" t="str">
        <x:v>ASSET_MURDOCK</x:v>
      </x:c>
      <x:c r="C32" s="61" t="str">
        <x:v>Murdock</x:v>
      </x:c>
      <x:c r="D32" s="61" t="str">
        <x:v>Rail Shot</x:v>
      </x:c>
      <x:c r="E32" s="61" t="str">
        <x:v>Attacco lineare</x:v>
      </x:c>
      <x:c r="F32" s="61" t="n">
        <x:v>75</x:v>
      </x:c>
      <x:c r="G32" s="61" t="n">
        <x:v>1</x:v>
      </x:c>
      <x:c r="H32" s="61" t="n">
        <x:v>1</x:v>
      </x:c>
      <x:c r="I32" s="61" t="n">
        <x:v>10</x:v>
      </x:c>
      <x:c r="J32" s="61" t="n">
        <x:v>0</x:v>
      </x:c>
      <x:c r="K32" s="61" t="n">
        <x:v>180</x:v>
      </x:c>
      <x:c r="L32" s="61" t="n">
        <x:v>1</x:v>
      </x:c>
      <x:c r="M32" s="61" t="n">
        <x:v>0</x:v>
      </x:c>
      <x:c r="N32" s="61" t="str">
        <x:v>ContinueAlongPlannedLine</x:v>
      </x:c>
      <x:c r="O32" s="61" t="str">
        <x:v>Penetra cover bassa; firma alta</x:v>
      </x:c>
      <x:c r="P32" s="61" t="str">
        <x:v>Ability.Offense.Ranged</x:v>
      </x:c>
      <x:c r="Q32" s="61" t="str">
        <x:v>SOURCE_VALUE</x:v>
      </x:c>
      <x:c r="R32" s="61" t="str">
        <x:v>v0.2</x:v>
      </x:c>
      <x:c r="S32" s="61" t="str">
        <x:v>DESIGN_SPEC</x:v>
      </x:c>
      <x:c r="T32" s="61" t="str">
        <x:v>Valori design v0.2 ereditati dalla matrice precedente.</x:v>
      </x:c>
      <x:c r="U32" s="15" t="str">
        <x:v>Rail Shot è il colpo a lungo raggio di Murdock: 180 danni a range 10. La specifica prevede penetrazione della cover bassa e una firma elevata.</x:v>
      </x:c>
      <x:c r="V32" s="15" t="str">
        <x:v>È il payoff della posizione preparata: grande portata e danno, ma richiede una linea utile e rende evidente la presenza del marksman.</x:v>
      </x:c>
    </x:row>
    <x:row r="33">
      <x:c r="A33" s="61" t="str">
        <x:v>ABL_MURDOCK_02</x:v>
      </x:c>
      <x:c r="B33" s="61" t="str">
        <x:v>ASSET_MURDOCK</x:v>
      </x:c>
      <x:c r="C33" s="61" t="str">
        <x:v>Murdock</x:v>
      </x:c>
      <x:c r="D33" s="61" t="str">
        <x:v>Suppressive Lane</x:v>
      </x:c>
      <x:c r="E33" s="61" t="str">
        <x:v>Overwatch</x:v>
      </x:c>
      <x:c r="F33" s="61" t="n">
        <x:v>30</x:v>
      </x:c>
      <x:c r="G33" s="61" t="n">
        <x:v>2</x:v>
      </x:c>
      <x:c r="H33" s="61" t="n">
        <x:v>3</x:v>
      </x:c>
      <x:c r="I33" s="61" t="n">
        <x:v>8</x:v>
      </x:c>
      <x:c r="J33" s="61" t="n">
        <x:v>1</x:v>
      </x:c>
      <x:c r="K33" s="61" t="n">
        <x:v>95</x:v>
      </x:c>
      <x:c r="L33" s="61" t="n">
        <x:v>2</x:v>
      </x:c>
      <x:c r="M33" s="61" t="n">
        <x:v>2</x:v>
      </x:c>
      <x:c r="N33" s="61" t="str">
        <x:v>RetargetNearestVisible</x:v>
      </x:c>
      <x:c r="O33" s="61" t="str">
        <x:v>Crea arco sorvegliato; interrompe sprint</x:v>
      </x:c>
      <x:c r="P33" s="61" t="str">
        <x:v>Ability.Reaction.Overwatch</x:v>
      </x:c>
      <x:c r="Q33" s="61" t="str">
        <x:v>SOURCE_VALUE</x:v>
      </x:c>
      <x:c r="R33" s="61" t="str">
        <x:v>v0.2</x:v>
      </x:c>
      <x:c r="S33" s="61" t="str">
        <x:v>DESIGN_SPEC</x:v>
      </x:c>
      <x:c r="T33" s="61" t="str">
        <x:v>Valori design v0.2 ereditati dalla matrice precedente.</x:v>
      </x:c>
      <x:c r="U33" s="15" t="str">
        <x:v>Suppressive Lane arma una linea di Overwatch fino a range 8 con raggio 1, 95 danni e controllo 2 per 2 turni.</x:v>
      </x:c>
      <x:c r="V33" s="15" t="str">
        <x:v>Serve a dominare un corridoio e interrompere Sprint. La reaction associata deve essere riallineata al modello Fast Reaction corrente prima dell'implementazione.</x:v>
      </x:c>
    </x:row>
    <x:row r="34">
      <x:c r="A34" s="61" t="str">
        <x:v>ABL_MURDOCK_03</x:v>
      </x:c>
      <x:c r="B34" s="61" t="str">
        <x:v>ASSET_MURDOCK</x:v>
      </x:c>
      <x:c r="C34" s="61" t="str">
        <x:v>Murdock</x:v>
      </x:c>
      <x:c r="D34" s="61" t="str">
        <x:v>Tracer Beacon</x:v>
      </x:c>
      <x:c r="E34" s="61" t="str">
        <x:v>Sensore</x:v>
      </x:c>
      <x:c r="F34" s="61" t="n">
        <x:v>25</x:v>
      </x:c>
      <x:c r="G34" s="61" t="n">
        <x:v>2</x:v>
      </x:c>
      <x:c r="H34" s="61" t="n">
        <x:v>3</x:v>
      </x:c>
      <x:c r="I34" s="61" t="n">
        <x:v>7</x:v>
      </x:c>
      <x:c r="J34" s="61" t="n">
        <x:v>1</x:v>
      </x:c>
      <x:c r="K34" s="61" t="n">
        <x:v>0</x:v>
      </x:c>
      <x:c r="L34" s="61" t="n">
        <x:v>2</x:v>
      </x:c>
      <x:c r="M34" s="61" t="n">
        <x:v>2</x:v>
      </x:c>
      <x:c r="N34" s="61" t="str">
        <x:v>FollowTrackedTarget</x:v>
      </x:c>
      <x:c r="O34" s="61" t="str">
        <x:v>Aumenta tracking e identification</x:v>
      </x:c>
      <x:c r="P34" s="61" t="str">
        <x:v>Ability.Vision.Sensor</x:v>
      </x:c>
      <x:c r="Q34" s="61" t="str">
        <x:v>SOURCE_VALUE</x:v>
      </x:c>
      <x:c r="R34" s="61" t="str">
        <x:v>v0.2</x:v>
      </x:c>
      <x:c r="S34" s="61" t="str">
        <x:v>DESIGN_SPEC</x:v>
      </x:c>
      <x:c r="T34" s="61" t="str">
        <x:v>Valori design v0.2 ereditati dalla matrice precedente.</x:v>
      </x:c>
      <x:c r="U34" s="15" t="str">
        <x:v>Tracer Beacon è un sensore a range 7 e raggio 1 per 2 turni che aumenta Tracking e Identification sul bersaglio o area seguita.</x:v>
      </x:c>
      <x:c r="V34" s="15" t="str">
        <x:v>È il lato informativo del kit: rende più stabile il contatto e prepara Rail Shot o Overwatch.</x:v>
      </x:c>
    </x:row>
    <x:row r="35">
      <x:c r="A35" s="61" t="str">
        <x:v>ABL_MURDOCK_04</x:v>
      </x:c>
      <x:c r="B35" s="61" t="str">
        <x:v>ASSET_MURDOCK</x:v>
      </x:c>
      <x:c r="C35" s="61" t="str">
        <x:v>Murdock</x:v>
      </x:c>
      <x:c r="D35" s="61" t="str">
        <x:v>Concussive Mine</x:v>
      </x:c>
      <x:c r="E35" s="61" t="str">
        <x:v>Trappola/AoE</x:v>
      </x:c>
      <x:c r="F35" s="61" t="n">
        <x:v>45</x:v>
      </x:c>
      <x:c r="G35" s="61" t="n">
        <x:v>3</x:v>
      </x:c>
      <x:c r="H35" s="61" t="n">
        <x:v>4</x:v>
      </x:c>
      <x:c r="I35" s="61" t="n">
        <x:v>5</x:v>
      </x:c>
      <x:c r="J35" s="61" t="n">
        <x:v>1</x:v>
      </x:c>
      <x:c r="K35" s="61" t="n">
        <x:v>80</x:v>
      </x:c>
      <x:c r="L35" s="61" t="n">
        <x:v>2</x:v>
      </x:c>
      <x:c r="M35" s="61" t="n">
        <x:v>2</x:v>
      </x:c>
      <x:c r="N35" s="61" t="str">
        <x:v>PersistOnCell</x:v>
      </x:c>
      <x:c r="O35" s="61" t="str">
        <x:v>Spinge; rivela attraversamento</x:v>
      </x:c>
      <x:c r="P35" s="61" t="str">
        <x:v>Ability.Trap.Control</x:v>
      </x:c>
      <x:c r="Q35" s="61" t="str">
        <x:v>SOURCE_VALUE</x:v>
      </x:c>
      <x:c r="R35" s="61" t="str">
        <x:v>v0.2</x:v>
      </x:c>
      <x:c r="S35" s="61" t="str">
        <x:v>DESIGN_SPEC</x:v>
      </x:c>
      <x:c r="T35" s="61" t="str">
        <x:v>Valori design v0.2 ereditati dalla matrice precedente.</x:v>
      </x:c>
      <x:c r="U35" s="15" t="str">
        <x:v>Concussive Mine è una trappola a range 5, raggio 1, 80 danni e controllo 2 per 2 turni. Spinge e rivela l'attraversamento.</x:v>
      </x:c>
      <x:c r="V35" s="15" t="str">
        <x:v>Trasforma una previsione di percorso in controllo del terreno. È `DESIGN_SPEC`, non implementazione v0.1.</x:v>
      </x:c>
    </x:row>
    <x:row r="36">
      <x:c r="A36" s="61" t="str">
        <x:v>ABL_KWANG_01</x:v>
      </x:c>
      <x:c r="B36" s="61" t="str">
        <x:v>ASSET_KWANG</x:v>
      </x:c>
      <x:c r="C36" s="61" t="str">
        <x:v>Kwang</x:v>
      </x:c>
      <x:c r="D36" s="61" t="str">
        <x:v>Storm Slash</x:v>
      </x:c>
      <x:c r="E36" s="61" t="str">
        <x:v>Attacco arco</x:v>
      </x:c>
      <x:c r="F36" s="61" t="n">
        <x:v>50</x:v>
      </x:c>
      <x:c r="G36" s="61" t="n">
        <x:v>1</x:v>
      </x:c>
      <x:c r="H36" s="61" t="n">
        <x:v>1</x:v>
      </x:c>
      <x:c r="I36" s="61" t="n">
        <x:v>2</x:v>
      </x:c>
      <x:c r="J36" s="61" t="n">
        <x:v>1</x:v>
      </x:c>
      <x:c r="K36" s="61" t="n">
        <x:v>135</x:v>
      </x:c>
      <x:c r="L36" s="61" t="n">
        <x:v>1</x:v>
      </x:c>
      <x:c r="M36" s="61" t="n">
        <x:v>1</x:v>
      </x:c>
      <x:c r="N36" s="61" t="str">
        <x:v>FollowTrackedTarget</x:v>
      </x:c>
      <x:c r="O36" s="61" t="str">
        <x:v>Bonus su bersaglio bagnato</x:v>
      </x:c>
      <x:c r="P36" s="61" t="str">
        <x:v>Ability.Offense.Electric</x:v>
      </x:c>
      <x:c r="Q36" s="61" t="str">
        <x:v>SOURCE_VALUE</x:v>
      </x:c>
      <x:c r="R36" s="61" t="str">
        <x:v>v0.2</x:v>
      </x:c>
      <x:c r="S36" s="61" t="str">
        <x:v>DESIGN_SPEC</x:v>
      </x:c>
      <x:c r="T36" s="61" t="str">
        <x:v>Valori design v0.2 ereditati dalla matrice precedente.</x:v>
      </x:c>
      <x:c r="U36" s="15" t="str">
        <x:v>Storm Slash è l'attacco ravvicinato elettrico di Kwang: 135 danni, range 2, raggio 1, con bonus contro bersagli bagnati.</x:v>
      </x:c>
      <x:c r="V36" s="15" t="str">
        <x:v>Tiene Kwang efficace vicino all'Anchor e crea una naturale sinergia con acqua/Wet. È `DESIGN_SPEC v0.2`.</x:v>
      </x:c>
    </x:row>
    <x:row r="37">
      <x:c r="A37" s="61" t="str">
        <x:v>ABL_KWANG_02</x:v>
      </x:c>
      <x:c r="B37" s="61" t="str">
        <x:v>ASSET_KWANG</x:v>
      </x:c>
      <x:c r="C37" s="61" t="str">
        <x:v>Kwang</x:v>
      </x:c>
      <x:c r="D37" s="61" t="str">
        <x:v>Sword Anchor</x:v>
      </x:c>
      <x:c r="E37" s="61" t="str">
        <x:v>Controllo/Arco</x:v>
      </x:c>
      <x:c r="F37" s="61" t="n">
        <x:v>35</x:v>
      </x:c>
      <x:c r="G37" s="61" t="n">
        <x:v>2</x:v>
      </x:c>
      <x:c r="H37" s="61" t="n">
        <x:v>3</x:v>
      </x:c>
      <x:c r="I37" s="61" t="n">
        <x:v>5</x:v>
      </x:c>
      <x:c r="J37" s="61" t="n">
        <x:v>1</x:v>
      </x:c>
      <x:c r="K37" s="61" t="n">
        <x:v>55</x:v>
      </x:c>
      <x:c r="L37" s="61" t="n">
        <x:v>2</x:v>
      </x:c>
      <x:c r="M37" s="61" t="n">
        <x:v>2</x:v>
      </x:c>
      <x:c r="N37" s="61" t="str">
        <x:v>PersistOnCell</x:v>
      </x:c>
      <x:c r="O37" s="61" t="str">
        <x:v>Crea nodo conduttivo e modifica archi vicini</x:v>
      </x:c>
      <x:c r="P37" s="61" t="str">
        <x:v>Ability.Control.Anchor</x:v>
      </x:c>
      <x:c r="Q37" s="61" t="str">
        <x:v>SOURCE_VALUE</x:v>
      </x:c>
      <x:c r="R37" s="61" t="str">
        <x:v>v0.2</x:v>
      </x:c>
      <x:c r="S37" s="61" t="str">
        <x:v>DESIGN_SPEC</x:v>
      </x:c>
      <x:c r="T37" s="61" t="str">
        <x:v>Valori design v0.2 ereditati dalla matrice precedente.</x:v>
      </x:c>
      <x:c r="U37" s="15" t="str">
        <x:v>Sword Anchor piazza l'elemento persistente centrale del kit a range 5. Infligge 55 danni e crea un nodo conduttivo che modifica gli archi vicini.</x:v>
      </x:c>
      <x:c r="V37" s="15" t="str">
        <x:v>La posizione dell'Anchor decide geometria, ritorno e futuri circuiti elettrici: è la scelta strategica che struttura il turno di Kwang.</x:v>
      </x:c>
    </x:row>
    <x:row r="38">
      <x:c r="A38" s="61" t="str">
        <x:v>ABL_KWANG_03</x:v>
      </x:c>
      <x:c r="B38" s="61" t="str">
        <x:v>ASSET_KWANG</x:v>
      </x:c>
      <x:c r="C38" s="61" t="str">
        <x:v>Kwang</x:v>
      </x:c>
      <x:c r="D38" s="61" t="str">
        <x:v>Lightning Return</x:v>
      </x:c>
      <x:c r="E38" s="61" t="str">
        <x:v>Dash/Reazione</x:v>
      </x:c>
      <x:c r="F38" s="61" t="n">
        <x:v>20</x:v>
      </x:c>
      <x:c r="G38" s="61" t="n">
        <x:v>2</x:v>
      </x:c>
      <x:c r="H38" s="61" t="n">
        <x:v>3</x:v>
      </x:c>
      <x:c r="I38" s="61" t="n">
        <x:v>5</x:v>
      </x:c>
      <x:c r="J38" s="61" t="n">
        <x:v>0</x:v>
      </x:c>
      <x:c r="K38" s="61" t="n">
        <x:v>85</x:v>
      </x:c>
      <x:c r="L38" s="61" t="n">
        <x:v>1</x:v>
      </x:c>
      <x:c r="M38" s="61" t="n">
        <x:v>0</x:v>
      </x:c>
      <x:c r="N38" s="61" t="str">
        <x:v>FollowAnchor</x:v>
      </x:c>
      <x:c r="O38" s="61" t="str">
        <x:v>Ritorna alla spada; shock su acqua</x:v>
      </x:c>
      <x:c r="P38" s="61" t="str">
        <x:v>Ability.Reaction.Dash</x:v>
      </x:c>
      <x:c r="Q38" s="61" t="str">
        <x:v>SOURCE_VALUE</x:v>
      </x:c>
      <x:c r="R38" s="61" t="str">
        <x:v>v0.2</x:v>
      </x:c>
      <x:c r="S38" s="61" t="str">
        <x:v>DESIGN_SPEC</x:v>
      </x:c>
      <x:c r="T38" s="61" t="str">
        <x:v>Valori design v0.2 ereditati dalla matrice precedente.</x:v>
      </x:c>
      <x:c r="U38" s="15" t="str">
        <x:v>Lightning Return permette a Kwang di tornare verso la spada-ancora fino a range 5, infliggendo 85 danni e producendo shock sull'acqua.</x:v>
      </x:c>
      <x:c r="V38" s="15" t="str">
        <x:v>È mobilità legata a una condizione preparata: senza Anchor utile perde gran parte del valore. È `DESIGN_SPEC`.</x:v>
      </x:c>
    </x:row>
    <x:row r="39">
      <x:c r="A39" s="61" t="str">
        <x:v>ABL_KWANG_04</x:v>
      </x:c>
      <x:c r="B39" s="61" t="str">
        <x:v>ASSET_KWANG</x:v>
      </x:c>
      <x:c r="C39" s="61" t="str">
        <x:v>Kwang</x:v>
      </x:c>
      <x:c r="D39" s="61" t="str">
        <x:v>Tempest Circuit</x:v>
      </x:c>
      <x:c r="E39" s="61" t="str">
        <x:v>AoE catena</x:v>
      </x:c>
      <x:c r="F39" s="61" t="n">
        <x:v>70</x:v>
      </x:c>
      <x:c r="G39" s="61" t="n">
        <x:v>4</x:v>
      </x:c>
      <x:c r="H39" s="61" t="n">
        <x:v>5</x:v>
      </x:c>
      <x:c r="I39" s="61" t="n">
        <x:v>6</x:v>
      </x:c>
      <x:c r="J39" s="61" t="n">
        <x:v>2</x:v>
      </x:c>
      <x:c r="K39" s="61" t="n">
        <x:v>110</x:v>
      </x:c>
      <x:c r="L39" s="61" t="n">
        <x:v>3</x:v>
      </x:c>
      <x:c r="M39" s="61" t="n">
        <x:v>1</x:v>
      </x:c>
      <x:c r="N39" s="61" t="str">
        <x:v>FireAtLastKnownCell</x:v>
      </x:c>
      <x:c r="O39" s="61" t="str">
        <x:v>Propaga su acqua/metal; friendly-fire previsto</x:v>
      </x:c>
      <x:c r="P39" s="61" t="str">
        <x:v>Ability.Offense.AOE.Electric</x:v>
      </x:c>
      <x:c r="Q39" s="61" t="str">
        <x:v>SOURCE_VALUE</x:v>
      </x:c>
      <x:c r="R39" s="61" t="str">
        <x:v>v0.2</x:v>
      </x:c>
      <x:c r="S39" s="61" t="str">
        <x:v>DESIGN_SPEC</x:v>
      </x:c>
      <x:c r="T39" s="61" t="str">
        <x:v>Valori design v0.2 ereditati dalla matrice precedente.</x:v>
      </x:c>
      <x:c r="U39" s="15" t="str">
        <x:v>Tempest Circuit è l'AoE/catena principale: 110 danni, range 6, raggio 2 e controllo 3. Si propaga attraverso acqua e metallo e la specifica prevede friendly fire.</x:v>
      </x:c>
      <x:c r="V39" s="15" t="str">
        <x:v>È il payoff di Electric Anchor e delle superfici conduttive: forte quando la geometria è stata preparata, rischioso se alleati e nemici condividono lo stesso circuito.</x:v>
      </x:c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</x:row>
  </x:sheetData>
  <x:mergeCells>
    <x:mergeCell ref="A1:Q1"/>
    <x:mergeCell ref="A21:Q21"/>
  </x:mergeCells>
  <x:dataValidations count="1">
    <x:dataValidation type="list" sqref="R4:R39">
      <x:formula1>"v0.1,v0.2"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2" hidden="0" customWidth="1"/>
    <x:col min="5" max="5" width="3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 ht="28" customHeight="1">
      <x:c r="A1" s="53" t="str">
        <x:v>Reazioni — stato corrente, finestre live e review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</x:row>
    <x:row r="3">
      <x:c r="A3" s="63" t="str">
        <x:v>Reaction_ID</x:v>
      </x:c>
      <x:c r="B3" s="63" t="str">
        <x:v>Hero_Key</x:v>
      </x:c>
      <x:c r="C3" s="63" t="str">
        <x:v>Hero</x:v>
      </x:c>
      <x:c r="D3" s="63" t="str">
        <x:v>Trigger</x:v>
      </x:c>
      <x:c r="E3" s="63" t="str">
        <x:v>Tipo</x:v>
      </x:c>
      <x:c r="F3" s="63" t="str">
        <x:v>Finestra_sec_SOURCE</x:v>
      </x:c>
      <x:c r="G3" s="63" t="str">
        <x:v>Costo</x:v>
      </x:c>
      <x:c r="H3" s="63" t="str">
        <x:v>Priorità</x:v>
      </x:c>
      <x:c r="I3" s="63" t="str">
        <x:v>Exclusive_Group</x:v>
      </x:c>
      <x:c r="J3" s="63" t="str">
        <x:v>Scelta_A</x:v>
      </x:c>
      <x:c r="K3" s="63" t="str">
        <x:v>Scelta_B</x:v>
      </x:c>
      <x:c r="L3" s="63" t="str">
        <x:v>Default_Timeout</x:v>
      </x:c>
      <x:c r="M3" s="63" t="str">
        <x:v>Tradeoff</x:v>
      </x:c>
      <x:c r="N3" s="63" t="str">
        <x:v>Review_Required</x:v>
      </x:c>
      <x:c r="O3" s="63" t="str">
        <x:v>Review_Note</x:v>
      </x:c>
      <x:c r="P3" s="58" t="str">
        <x:v>ReleaseVersion</x:v>
      </x:c>
      <x:c r="Q3" s="58" t="str">
        <x:v>Implementation_Status</x:v>
      </x:c>
    </x:row>
    <x:row r="4">
      <x:c r="A4" s="65" t="str">
        <x:v>Flux.ReactiveCapacitor</x:v>
      </x:c>
      <x:c r="B4" s="65" t="str">
        <x:v>ASSET_FLUX</x:v>
      </x:c>
      <x:c r="C4" s="65" t="str">
        <x:v>Flux</x:v>
      </x:c>
      <x:c r="D4" s="65" t="str">
        <x:v>Subisce un attacco diretto</x:v>
      </x:c>
      <x:c r="E4" s="65" t="str">
        <x:v>Counter</x:v>
      </x:c>
      <x:c r="F4" s="65"/>
      <x:c r="G4" s="65"/>
      <x:c r="H4" s="65" t="n">
        <x:v>20</x:v>
      </x:c>
      <x:c r="I4" s="65" t="str">
        <x:v>Flux_R1</x:v>
      </x:c>
      <x:c r="J4" s="65" t="str">
        <x:v>Commit automatico (v0.1 attuale)</x:v>
      </x:c>
      <x:c r="K4" s="65"/>
      <x:c r="L4" s="65"/>
      <x:c r="M4" s="65" t="str">
        <x:v>Scudo 15 + 10 danni all'attaccante</x:v>
      </x:c>
      <x:c r="N4" s="65" t="str">
        <x:v>NO</x:v>
      </x:c>
      <x:c r="O4" s="65" t="str">
        <x:v>Reazione deterministica attuale: nessuna finestra live; il modello opportunity→commit arriva con E14.</x:v>
      </x:c>
      <x:c r="P4" s="61" t="str">
        <x:v>v0.1</x:v>
      </x:c>
      <x:c r="Q4" s="61" t="str">
        <x:v>IMPLEMENTED</x:v>
      </x:c>
    </x:row>
    <x:row r="5">
      <x:c r="A5" s="65" t="str">
        <x:v>Riva.FlowReaction</x:v>
      </x:c>
      <x:c r="B5" s="65" t="str">
        <x:v>ASSET_RIVA</x:v>
      </x:c>
      <x:c r="C5" s="65" t="str">
        <x:v>Riva</x:v>
      </x:c>
      <x:c r="D5" s="65" t="str">
        <x:v>Dopo un attacco subito</x:v>
      </x:c>
      <x:c r="E5" s="65" t="str">
        <x:v>Movement reaction</x:v>
      </x:c>
      <x:c r="F5" s="65" t="n">
        <x:v>3</x:v>
      </x:c>
      <x:c r="G5" s="65"/>
      <x:c r="H5" s="65" t="n">
        <x:v>36</x:v>
      </x:c>
      <x:c r="I5" s="65" t="str">
        <x:v>Riva_R1</x:v>
      </x:c>
      <x:c r="J5" s="65" t="str">
        <x:v>Reposition 1</x:v>
      </x:c>
      <x:c r="K5" s="65" t="str">
        <x:v>Hold</x:v>
      </x:c>
      <x:c r="L5" s="65" t="str">
        <x:v>Hold</x:v>
      </x:c>
      <x:c r="M5" s="65" t="str">
        <x:v>Movimento dentro decision boundary</x:v>
      </x:c>
      <x:c r="N5" s="65" t="str">
        <x:v>YES</x:v>
      </x:c>
      <x:c r="O5" s="65" t="str">
        <x:v>Rinviata a E14; durata 3 s è baseline del modello Fast Reaction, non implementazione corrente.</x:v>
      </x:c>
      <x:c r="P5" s="61" t="str">
        <x:v>v0.1</x:v>
      </x:c>
      <x:c r="Q5" s="61" t="str">
        <x:v>DEFERRED_E14</x:v>
      </x:c>
    </x:row>
    <x:row r="6">
      <x:c r="A6" s="65" t="str">
        <x:v>Bastion.Interposition</x:v>
      </x:c>
      <x:c r="B6" s="65" t="str">
        <x:v>ASSET_BASTION</x:v>
      </x:c>
      <x:c r="C6" s="65" t="str">
        <x:v>Bastion</x:v>
      </x:c>
      <x:c r="D6" s="65" t="str">
        <x:v>Alleato entro 2 celle bersagliato da attacco diretto</x:v>
      </x:c>
      <x:c r="E6" s="65" t="str">
        <x:v>Intercept</x:v>
      </x:c>
      <x:c r="F6" s="65"/>
      <x:c r="G6" s="65"/>
      <x:c r="H6" s="65" t="n">
        <x:v>10</x:v>
      </x:c>
      <x:c r="I6" s="65" t="str">
        <x:v>Bastion_R1</x:v>
      </x:c>
      <x:c r="J6" s="65" t="str">
        <x:v>Intercept automatico (v0.1 attuale)</x:v>
      </x:c>
      <x:c r="K6" s="65"/>
      <x:c r="L6" s="65"/>
      <x:c r="M6" s="65" t="str">
        <x:v>Bastion diventa bersaglio</x:v>
      </x:c>
      <x:c r="N6" s="65" t="str">
        <x:v>NO</x:v>
      </x:c>
      <x:c r="O6" s="65" t="str">
        <x:v>Reazione deterministica attuale; nessuna finestra live.</x:v>
      </x:c>
      <x:c r="P6" s="61" t="str">
        <x:v>v0.1</x:v>
      </x:c>
      <x:c r="Q6" s="61" t="str">
        <x:v>IMPLEMENTED</x:v>
      </x:c>
    </x:row>
    <x:row r="7">
      <x:c r="A7" s="65" t="str">
        <x:v>Vektor.InterceptShot</x:v>
      </x:c>
      <x:c r="B7" s="65" t="str">
        <x:v>ASSET_VEKTOR</x:v>
      </x:c>
      <x:c r="C7" s="65" t="str">
        <x:v>Vektor</x:v>
      </x:c>
      <x:c r="D7" s="65" t="str">
        <x:v>Nemico entra nella cella/zona controllata</x:v>
      </x:c>
      <x:c r="E7" s="65" t="str">
        <x:v>Overwatch</x:v>
      </x:c>
      <x:c r="F7" s="65" t="n">
        <x:v>3</x:v>
      </x:c>
      <x:c r="G7" s="65"/>
      <x:c r="H7" s="65" t="n">
        <x:v>30</x:v>
      </x:c>
      <x:c r="I7" s="65" t="str">
        <x:v>Vektor_R1</x:v>
      </x:c>
      <x:c r="J7" s="65" t="str">
        <x:v>FIRE</x:v>
      </x:c>
      <x:c r="K7" s="65" t="str">
        <x:v>HOLD</x:v>
      </x:c>
      <x:c r="L7" s="65" t="str">
        <x:v>HOLD</x:v>
      </x:c>
      <x:c r="M7" s="65" t="str">
        <x:v>16 danni + stop movimento</x:v>
      </x:c>
      <x:c r="N7" s="65" t="str">
        <x:v>YES</x:v>
      </x:c>
      <x:c r="O7" s="65" t="str">
        <x:v>Rinviata a E14; richiede trigger su movimento e decision boundary.</x:v>
      </x:c>
      <x:c r="P7" s="61" t="str">
        <x:v>v0.1</x:v>
      </x:c>
      <x:c r="Q7" s="61" t="str">
        <x:v>DEFERRED_E14</x:v>
      </x:c>
    </x:row>
    <x:row r="8">
      <x:c r="A8" s="65" t="str">
        <x:v>Vektor.Deflection</x:v>
      </x:c>
      <x:c r="B8" s="65" t="str">
        <x:v>ASSET_VEKTOR</x:v>
      </x:c>
      <x:c r="C8" s="65" t="str">
        <x:v>Vektor</x:v>
      </x:c>
      <x:c r="D8" s="65" t="str">
        <x:v>Subisce un attacco diretto</x:v>
      </x:c>
      <x:c r="E8" s="65" t="str">
        <x:v>Deflect</x:v>
      </x:c>
      <x:c r="F8" s="65"/>
      <x:c r="G8" s="65"/>
      <x:c r="H8" s="65" t="n">
        <x:v>15</x:v>
      </x:c>
      <x:c r="I8" s="65" t="str">
        <x:v>Vektor_R2</x:v>
      </x:c>
      <x:c r="J8" s="65" t="str">
        <x:v>Deflect automatico (v0.1 attuale)</x:v>
      </x:c>
      <x:c r="K8" s="65"/>
      <x:c r="L8" s="65"/>
      <x:c r="M8" s="65" t="str">
        <x:v>-20 danno sul colpo</x:v>
      </x:c>
      <x:c r="N8" s="65" t="str">
        <x:v>NO</x:v>
      </x:c>
      <x:c r="O8" s="65" t="str">
        <x:v>Reazione deterministica attuale; nessuna finestra live.</x:v>
      </x:c>
      <x:c r="P8" s="61" t="str">
        <x:v>v0.1</x:v>
      </x:c>
      <x:c r="Q8" s="61" t="str">
        <x:v>IMPLEMENTED</x:v>
      </x:c>
    </x:row>
    <x:row r="9">
      <x:c r="A9" s="65" t="str">
        <x:v>REACT_STEEL_GUARD</x:v>
      </x:c>
      <x:c r="B9" s="65" t="str">
        <x:v>ASSET_STEEL</x:v>
      </x:c>
      <x:c r="C9" s="65" t="str">
        <x:v>Steel</x:v>
      </x:c>
      <x:c r="D9" s="65" t="str">
        <x:v>Nuova minaccia entra nel raggio alleato</x:v>
      </x:c>
      <x:c r="E9" s="65" t="str">
        <x:v>Guardia</x:v>
      </x:c>
      <x:c r="F9" s="65" t="n">
        <x:v>6</x:v>
      </x:c>
      <x:c r="G9" s="65" t="n">
        <x:v>15</x:v>
      </x:c>
      <x:c r="H9" s="65" t="n">
        <x:v>90</x:v>
      </x:c>
      <x:c r="I9" s="65" t="str">
        <x:v>Steel_R1</x:v>
      </x:c>
      <x:c r="J9" s="65" t="str">
        <x:v>Interpose</x:v>
      </x:c>
      <x:c r="K9" s="65" t="str">
        <x:v>Brace</x:v>
      </x:c>
      <x:c r="L9" s="65" t="str">
        <x:v>Brace</x:v>
      </x:c>
      <x:c r="M9" s="65" t="str">
        <x:v>Consuma 1 Integrità Scudo</x:v>
      </x:c>
      <x:c r="N9" s="65" t="str">
        <x:v>YES</x:v>
      </x:c>
      <x:c r="O9" s="65" t="str">
        <x:v>Valore storico dal Balance Matrices; riallineare al modello Fast Reaction più recente prima dell'implementazione.</x:v>
      </x:c>
      <x:c r="P9" s="61" t="str">
        <x:v>v0.2</x:v>
      </x:c>
      <x:c r="Q9" s="61" t="str">
        <x:v>REVIEW_REQUIRED</x:v>
      </x:c>
    </x:row>
    <x:row r="10">
      <x:c r="A10" s="65" t="str">
        <x:v>REACT_STEEL_BRACE</x:v>
      </x:c>
      <x:c r="B10" s="65" t="str">
        <x:v>ASSET_STEEL</x:v>
      </x:c>
      <x:c r="C10" s="65" t="str">
        <x:v>Steel</x:v>
      </x:c>
      <x:c r="D10" s="65" t="str">
        <x:v>Steel sta per subire spinta/stun</x:v>
      </x:c>
      <x:c r="E10" s="65" t="str">
        <x:v>Difesa</x:v>
      </x:c>
      <x:c r="F10" s="65" t="n">
        <x:v>5</x:v>
      </x:c>
      <x:c r="G10" s="65" t="n">
        <x:v>10</x:v>
      </x:c>
      <x:c r="H10" s="65" t="n">
        <x:v>95</x:v>
      </x:c>
      <x:c r="I10" s="65" t="str">
        <x:v>Steel_R1</x:v>
      </x:c>
      <x:c r="J10" s="65" t="str">
        <x:v>Brace</x:v>
      </x:c>
      <x:c r="K10" s="65" t="str">
        <x:v>Interpose</x:v>
      </x:c>
      <x:c r="L10" s="65" t="str">
        <x:v>Brace</x:v>
      </x:c>
      <x:c r="M10" s="65" t="str">
        <x:v>Riduce controllo, rinuncia al movimento</x:v>
      </x:c>
      <x:c r="N10" s="65" t="str">
        <x:v>YES</x:v>
      </x:c>
      <x:c r="O10" s="65" t="str">
        <x:v>Valore storico dal Balance Matrices; riallineare al modello Fast Reaction più recente prima dell'implementazione.</x:v>
      </x:c>
      <x:c r="P10" s="61" t="str">
        <x:v>v0.2</x:v>
      </x:c>
      <x:c r="Q10" s="61" t="str">
        <x:v>REVIEW_REQUIRED</x:v>
      </x:c>
    </x:row>
    <x:row r="11">
      <x:c r="A11" s="65" t="str">
        <x:v>REACT_AURORA_MIRROR</x:v>
      </x:c>
      <x:c r="B11" s="65" t="str">
        <x:v>ASSET_AURORA</x:v>
      </x:c>
      <x:c r="C11" s="65" t="str">
        <x:v>Aurora</x:v>
      </x:c>
      <x:c r="D11" s="65" t="str">
        <x:v>Attacco lineare la attraversa</x:v>
      </x:c>
      <x:c r="E11" s="65" t="str">
        <x:v>Decoy</x:v>
      </x:c>
      <x:c r="F11" s="65" t="n">
        <x:v>6</x:v>
      </x:c>
      <x:c r="G11" s="65" t="n">
        <x:v>20</x:v>
      </x:c>
      <x:c r="H11" s="65" t="n">
        <x:v>70</x:v>
      </x:c>
      <x:c r="I11" s="65" t="str">
        <x:v>Aurora_R1</x:v>
      </x:c>
      <x:c r="J11" s="65" t="str">
        <x:v>Ice Mirror</x:v>
      </x:c>
      <x:c r="K11" s="65" t="str">
        <x:v>Cold Step</x:v>
      </x:c>
      <x:c r="L11" s="65" t="str">
        <x:v>Cold Step</x:v>
      </x:c>
      <x:c r="M11" s="65" t="str">
        <x:v>Crea clone cover fragile</x:v>
      </x:c>
      <x:c r="N11" s="65" t="str">
        <x:v>YES</x:v>
      </x:c>
      <x:c r="O11" s="65" t="str">
        <x:v>Valore storico dal Balance Matrices; riallineare al modello Fast Reaction più recente prima dell'implementazione.</x:v>
      </x:c>
      <x:c r="P11" s="61" t="str">
        <x:v>v0.2</x:v>
      </x:c>
      <x:c r="Q11" s="61" t="str">
        <x:v>REVIEW_REQUIRED</x:v>
      </x:c>
    </x:row>
    <x:row r="12">
      <x:c r="A12" s="61" t="str">
        <x:v>REACT_AURORA_STEP</x:v>
      </x:c>
      <x:c r="B12" s="61" t="str">
        <x:v>ASSET_AURORA</x:v>
      </x:c>
      <x:c r="C12" s="61" t="str">
        <x:v>Aurora</x:v>
      </x:c>
      <x:c r="D12" s="61" t="str">
        <x:v>Nemico la identifica nel fumo</x:v>
      </x:c>
      <x:c r="E12" s="61" t="str">
        <x:v>Dash</x:v>
      </x:c>
      <x:c r="F12" s="61" t="n">
        <x:v>5</x:v>
      </x:c>
      <x:c r="G12" s="61" t="n">
        <x:v>20</x:v>
      </x:c>
      <x:c r="H12" s="61" t="n">
        <x:v>80</x:v>
      </x:c>
      <x:c r="I12" s="61" t="str">
        <x:v>Aurora_R1</x:v>
      </x:c>
      <x:c r="J12" s="61" t="str">
        <x:v>Cold Step</x:v>
      </x:c>
      <x:c r="K12" s="61" t="str">
        <x:v>Ice Mirror</x:v>
      </x:c>
      <x:c r="L12" s="61" t="str">
        <x:v>Cold Step</x:v>
      </x:c>
      <x:c r="M12" s="61" t="str">
        <x:v>Dash breve, aumenta cooldown</x:v>
      </x:c>
      <x:c r="N12" s="61" t="str">
        <x:v>YES</x:v>
      </x:c>
      <x:c r="O12" s="61" t="str">
        <x:v>Valore storico dal Balance Matrices; riallineare al modello Fast Reaction più recente prima dell'implementazione.</x:v>
      </x:c>
      <x:c r="P12" s="61" t="str">
        <x:v>v0.2</x:v>
      </x:c>
      <x:c r="Q12" s="61" t="str">
        <x:v>REVIEW_REQUIRED</x:v>
      </x:c>
    </x:row>
    <x:row r="13" ht="32" customHeight="1">
      <x:c r="A13" s="68" t="str">
        <x:v>REACT_MURDOCK_SHOT</x:v>
      </x:c>
      <x:c r="B13" s="68" t="str">
        <x:v>ASSET_MURDOCK</x:v>
      </x:c>
      <x:c r="C13" s="68" t="str">
        <x:v>Murdock</x:v>
      </x:c>
      <x:c r="D13" s="68" t="str">
        <x:v>Nemico entra nell'arco sorvegliato</x:v>
      </x:c>
      <x:c r="E13" s="68" t="str">
        <x:v>Overwatch</x:v>
      </x:c>
      <x:c r="F13" s="68" t="n">
        <x:v>7</x:v>
      </x:c>
      <x:c r="G13" s="68" t="n">
        <x:v>1</x:v>
      </x:c>
      <x:c r="H13" s="68" t="n">
        <x:v>75</x:v>
      </x:c>
      <x:c r="I13" s="68" t="str">
        <x:v>Murdock_R1</x:v>
      </x:c>
      <x:c r="J13" s="68" t="str">
        <x:v>Snapshot</x:v>
      </x:c>
      <x:c r="K13" s="68" t="str">
        <x:v>Mark Target</x:v>
      </x:c>
      <x:c r="L13" s="68" t="str">
        <x:v>Mark Target</x:v>
      </x:c>
      <x:c r="M13" s="68" t="str">
        <x:v>Danno ridotto, interrompe sprint</x:v>
      </x:c>
      <x:c r="N13" s="68" t="str">
        <x:v>YES</x:v>
      </x:c>
      <x:c r="O13" s="68" t="str">
        <x:v>Valore storico dal Balance Matrices; riallineare al modello Fast Reaction più recente prima dell'implementazione.</x:v>
      </x:c>
      <x:c r="P13" s="61" t="str">
        <x:v>v0.2</x:v>
      </x:c>
      <x:c r="Q13" s="61" t="str">
        <x:v>REVIEW_REQUIRED</x:v>
      </x:c>
    </x:row>
    <x:row r="14">
      <x:c r="A14" s="61" t="str">
        <x:v>REACT_MURDOCK_MARK</x:v>
      </x:c>
      <x:c r="B14" s="61" t="str">
        <x:v>ASSET_MURDOCK</x:v>
      </x:c>
      <x:c r="C14" s="61" t="str">
        <x:v>Murdock</x:v>
      </x:c>
      <x:c r="D14" s="61" t="str">
        <x:v>Contatto incerto diventa rilevato</x:v>
      </x:c>
      <x:c r="E14" s="61" t="str">
        <x:v>Sensor</x:v>
      </x:c>
      <x:c r="F14" s="61" t="n">
        <x:v>6</x:v>
      </x:c>
      <x:c r="G14" s="61" t="n">
        <x:v>15</x:v>
      </x:c>
      <x:c r="H14" s="61" t="n">
        <x:v>85</x:v>
      </x:c>
      <x:c r="I14" s="61" t="str">
        <x:v>Murdock_R1</x:v>
      </x:c>
      <x:c r="J14" s="61" t="str">
        <x:v>Mark Target</x:v>
      </x:c>
      <x:c r="K14" s="61" t="str">
        <x:v>Snapshot</x:v>
      </x:c>
      <x:c r="L14" s="61" t="str">
        <x:v>Mark Target</x:v>
      </x:c>
      <x:c r="M14" s="61" t="str">
        <x:v>Nessun danno, tracking +2</x:v>
      </x:c>
      <x:c r="N14" s="61" t="str">
        <x:v>YES</x:v>
      </x:c>
      <x:c r="O14" s="61" t="str">
        <x:v>Valore storico dal Balance Matrices; riallineare al modello Fast Reaction più recente prima dell'implementazione.</x:v>
      </x:c>
      <x:c r="P14" s="61" t="str">
        <x:v>v0.2</x:v>
      </x:c>
      <x:c r="Q14" s="61" t="str">
        <x:v>REVIEW_REQUIRED</x:v>
      </x:c>
    </x:row>
    <x:row r="15">
      <x:c r="A15" s="61" t="str">
        <x:v>REACT_KWANG_RETURN</x:v>
      </x:c>
      <x:c r="B15" s="61" t="str">
        <x:v>ASSET_KWANG</x:v>
      </x:c>
      <x:c r="C15" s="61" t="str">
        <x:v>Kwang</x:v>
      </x:c>
      <x:c r="D15" s="61" t="str">
        <x:v>Kwang perde LOS o viene circondato</x:v>
      </x:c>
      <x:c r="E15" s="61" t="str">
        <x:v>Dash</x:v>
      </x:c>
      <x:c r="F15" s="61" t="n">
        <x:v>6</x:v>
      </x:c>
      <x:c r="G15" s="61" t="n">
        <x:v>20</x:v>
      </x:c>
      <x:c r="H15" s="61" t="n">
        <x:v>90</x:v>
      </x:c>
      <x:c r="I15" s="61" t="str">
        <x:v>Kwang_R1</x:v>
      </x:c>
      <x:c r="J15" s="61" t="str">
        <x:v>Lightning Return</x:v>
      </x:c>
      <x:c r="K15" s="61" t="str">
        <x:v>Static Guard</x:v>
      </x:c>
      <x:c r="L15" s="61" t="str">
        <x:v>Static Guard</x:v>
      </x:c>
      <x:c r="M15" s="61" t="str">
        <x:v>Richiede Sword Anchor</x:v>
      </x:c>
      <x:c r="N15" s="61" t="str">
        <x:v>YES</x:v>
      </x:c>
      <x:c r="O15" s="61" t="str">
        <x:v>Valore storico dal Balance Matrices; riallineare al modello Fast Reaction più recente prima dell'implementazione.</x:v>
      </x:c>
      <x:c r="P15" s="61" t="str">
        <x:v>v0.2</x:v>
      </x:c>
      <x:c r="Q15" s="61" t="str">
        <x:v>REVIEW_REQUIRED</x:v>
      </x:c>
    </x:row>
    <x:row r="16">
      <x:c r="A16" s="61" t="str">
        <x:v>REACT_KWANG_GUARD</x:v>
      </x:c>
      <x:c r="B16" s="61" t="str">
        <x:v>ASSET_KWANG</x:v>
      </x:c>
      <x:c r="C16" s="61" t="str">
        <x:v>Kwang</x:v>
      </x:c>
      <x:c r="D16" s="61" t="str">
        <x:v>Danno elettrico/controllo in arrivo</x:v>
      </x:c>
      <x:c r="E16" s="61" t="str">
        <x:v>Counter</x:v>
      </x:c>
      <x:c r="F16" s="61" t="n">
        <x:v>5</x:v>
      </x:c>
      <x:c r="G16" s="61" t="n">
        <x:v>15</x:v>
      </x:c>
      <x:c r="H16" s="61" t="n">
        <x:v>95</x:v>
      </x:c>
      <x:c r="I16" s="61" t="str">
        <x:v>Kwang_R1</x:v>
      </x:c>
      <x:c r="J16" s="61" t="str">
        <x:v>Static Guard</x:v>
      </x:c>
      <x:c r="K16" s="61" t="str">
        <x:v>Lightning Return</x:v>
      </x:c>
      <x:c r="L16" s="61" t="str">
        <x:v>Static Guard</x:v>
      </x:c>
      <x:c r="M16" s="61" t="str">
        <x:v>Accumula Carica Tempesta</x:v>
      </x:c>
      <x:c r="N16" s="61" t="str">
        <x:v>YES</x:v>
      </x:c>
      <x:c r="O16" s="61" t="str">
        <x:v>Valore storico dal Balance Matrices; riallineare al modello Fast Reaction più recente prima dell'implementazione.</x:v>
      </x:c>
      <x:c r="P16" s="61" t="str">
        <x:v>v0.2</x:v>
      </x:c>
      <x:c r="Q16" s="61" t="str">
        <x:v>REVIEW_REQUIRED</x:v>
      </x:c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</x:row>
  </x:sheetData>
  <x:mergeCells>
    <x:mergeCell ref="A1:O1"/>
    <x:mergeCell ref="A13:O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0" hidden="0" customWidth="1"/>
    <x:col min="12" max="12" width="20" hidden="0" customWidth="1"/>
  </x:cols>
  <x:sheetData>
    <x:row r="1" ht="28" customHeight="1">
      <x:c r="A1" s="53" t="str">
        <x:v>Risorse e slot — v0.1 + v0.2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63" t="str">
        <x:v>Resource_ID</x:v>
      </x:c>
      <x:c r="B3" s="63" t="str">
        <x:v>Nome</x:v>
      </x:c>
      <x:c r="C3" s="63" t="str">
        <x:v>Owner</x:v>
      </x:c>
      <x:c r="D3" s="63" t="str">
        <x:v>Cap</x:v>
      </x:c>
      <x:c r="E3" s="63" t="str">
        <x:v>Start</x:v>
      </x:c>
      <x:c r="F3" s="63" t="str">
        <x:v>Regen</x:v>
      </x:c>
      <x:c r="G3" s="63" t="str">
        <x:v>Regen_Trigger</x:v>
      </x:c>
      <x:c r="H3" s="63" t="str">
        <x:v>Spesa</x:v>
      </x:c>
      <x:c r="I3" s="63" t="str">
        <x:v>Regola</x:v>
      </x:c>
      <x:c r="J3" s="63" t="str">
        <x:v>Audience</x:v>
      </x:c>
      <x:c r="K3" s="58" t="str">
        <x:v>ReleaseVersion</x:v>
      </x:c>
      <x:c r="L3" s="58" t="str">
        <x:v>Implementation_Status</x:v>
      </x:c>
    </x:row>
    <x:row r="4">
      <x:c r="A4" s="65" t="str">
        <x:v>RES_ACTION</x:v>
      </x:c>
      <x:c r="B4" s="65" t="str">
        <x:v>Action Points / Slots</x:v>
      </x:c>
      <x:c r="C4" s="65" t="str">
        <x:v>Global</x:v>
      </x:c>
      <x:c r="D4" s="65" t="n">
        <x:v>2</x:v>
      </x:c>
      <x:c r="E4" s="65" t="n">
        <x:v>2</x:v>
      </x:c>
      <x:c r="F4" s="65" t="n">
        <x:v>0</x:v>
      </x:c>
      <x:c r="G4" s="65" t="str">
        <x:v>Turn start</x:v>
      </x:c>
      <x:c r="H4" s="65" t="str">
        <x:v>Movimento + Azione principale</x:v>
      </x:c>
      <x:c r="I4" s="65" t="str">
        <x:v>No carry; sinonimo dei 2 slot canonici</x:v>
      </x:c>
      <x:c r="J4" s="65" t="str">
        <x:v>All</x:v>
      </x:c>
      <x:c r="K4" s="61" t="str">
        <x:v>v0.1</x:v>
      </x:c>
      <x:c r="L4" s="61" t="str">
        <x:v>CANONICAL</x:v>
      </x:c>
    </x:row>
    <x:row r="5">
      <x:c r="A5" s="65" t="str">
        <x:v>RES_REACTION</x:v>
      </x:c>
      <x:c r="B5" s="65" t="str">
        <x:v>Reaction Slot</x:v>
      </x:c>
      <x:c r="C5" s="65" t="str">
        <x:v>Global</x:v>
      </x:c>
      <x:c r="D5" s="65" t="n">
        <x:v>1</x:v>
      </x:c>
      <x:c r="E5" s="65" t="n">
        <x:v>1</x:v>
      </x:c>
      <x:c r="F5" s="65" t="n">
        <x:v>0</x:v>
      </x:c>
      <x:c r="G5" s="65" t="str">
        <x:v>Turn start</x:v>
      </x:c>
      <x:c r="H5" s="65" t="str">
        <x:v>Reazione</x:v>
      </x:c>
      <x:c r="I5" s="65" t="str">
        <x:v>1 attivazione max per turno</x:v>
      </x:c>
      <x:c r="J5" s="65" t="str">
        <x:v>All</x:v>
      </x:c>
      <x:c r="K5" s="61" t="str">
        <x:v>v0.1</x:v>
      </x:c>
      <x:c r="L5" s="61" t="str">
        <x:v>CANONICAL</x:v>
      </x:c>
    </x:row>
    <x:row r="6">
      <x:c r="A6" s="65" t="str">
        <x:v>RES_FLUX_CONDUCTIVE</x:v>
      </x:c>
      <x:c r="B6" s="65" t="str">
        <x:v>Carica Conduttiva</x:v>
      </x:c>
      <x:c r="C6" s="65" t="str">
        <x:v>Flux</x:v>
      </x:c>
      <x:c r="D6" s="65" t="n">
        <x:v>4</x:v>
      </x:c>
      <x:c r="E6" s="65"/>
      <x:c r="F6" s="65" t="n">
        <x:v>1</x:v>
      </x:c>
      <x:c r="G6" s="65" t="str">
        <x:v>Interazione elettrica</x:v>
      </x:c>
      <x:c r="H6" s="65" t="str">
        <x:v>Abilità firma</x:v>
      </x:c>
      <x:c r="I6" s="65" t="str">
        <x:v>Cap 4; start non specificato</x:v>
      </x:c>
      <x:c r="J6" s="65" t="str">
        <x:v>Team-visible</x:v>
      </x:c>
      <x:c r="K6" s="61" t="str">
        <x:v>v0.1</x:v>
      </x:c>
      <x:c r="L6" s="61" t="str">
        <x:v>CANONICAL_PARTIAL</x:v>
      </x:c>
    </x:row>
    <x:row r="7">
      <x:c r="A7" s="65" t="str">
        <x:v>RES_RIVA_WATER</x:v>
      </x:c>
      <x:c r="B7" s="65" t="str">
        <x:v>Riserva Idrica</x:v>
      </x:c>
      <x:c r="C7" s="65" t="str">
        <x:v>Riva</x:v>
      </x:c>
      <x:c r="D7" s="65" t="n">
        <x:v>4</x:v>
      </x:c>
      <x:c r="E7" s="65"/>
      <x:c r="F7" s="65" t="n">
        <x:v>1</x:v>
      </x:c>
      <x:c r="G7" s="65" t="str">
        <x:v>Interazione con acqua</x:v>
      </x:c>
      <x:c r="H7" s="65" t="str">
        <x:v>Abilità firma</x:v>
      </x:c>
      <x:c r="I7" s="65" t="str">
        <x:v>Cap 4; start non specificato</x:v>
      </x:c>
      <x:c r="J7" s="65" t="str">
        <x:v>Team-visible</x:v>
      </x:c>
      <x:c r="K7" s="61" t="str">
        <x:v>v0.1</x:v>
      </x:c>
      <x:c r="L7" s="61" t="str">
        <x:v>CANONICAL_PARTIAL</x:v>
      </x:c>
    </x:row>
    <x:row r="8">
      <x:c r="A8" s="65" t="str">
        <x:v>RES_BASTION_STRUCTURE</x:v>
      </x:c>
      <x:c r="B8" s="65" t="str">
        <x:v>Integrità Strutturale</x:v>
      </x:c>
      <x:c r="C8" s="65" t="str">
        <x:v>Bastion</x:v>
      </x:c>
      <x:c r="D8" s="65" t="n">
        <x:v>4</x:v>
      </x:c>
      <x:c r="E8" s="65"/>
      <x:c r="F8" s="65" t="n">
        <x:v>1</x:v>
      </x:c>
      <x:c r="G8" s="65" t="str">
        <x:v>Cleanup</x:v>
      </x:c>
      <x:c r="H8" s="65" t="str">
        <x:v>Abilità firma</x:v>
      </x:c>
      <x:c r="I8" s="65" t="str">
        <x:v>Cap 4; start non specificato</x:v>
      </x:c>
      <x:c r="J8" s="65" t="str">
        <x:v>Team-visible</x:v>
      </x:c>
      <x:c r="K8" s="61" t="str">
        <x:v>v0.1</x:v>
      </x:c>
      <x:c r="L8" s="61" t="str">
        <x:v>CANONICAL_PARTIAL</x:v>
      </x:c>
    </x:row>
    <x:row r="9">
      <x:c r="A9" s="65" t="str">
        <x:v>RES_VEKTOR_MOMENTUM</x:v>
      </x:c>
      <x:c r="B9" s="65" t="str">
        <x:v>Slancio</x:v>
      </x:c>
      <x:c r="C9" s="65" t="str">
        <x:v>Vektor</x:v>
      </x:c>
      <x:c r="D9" s="65" t="n">
        <x:v>4</x:v>
      </x:c>
      <x:c r="E9" s="65"/>
      <x:c r="F9" s="65" t="n">
        <x:v>1</x:v>
      </x:c>
      <x:c r="G9" s="65" t="str">
        <x:v>Movimento eseguito</x:v>
      </x:c>
      <x:c r="H9" s="65" t="str">
        <x:v>Abilità firma</x:v>
      </x:c>
      <x:c r="I9" s="65" t="str">
        <x:v>Cap 4; start non specificato</x:v>
      </x:c>
      <x:c r="J9" s="65" t="str">
        <x:v>Team-visible</x:v>
      </x:c>
      <x:c r="K9" s="61" t="str">
        <x:v>v0.1</x:v>
      </x:c>
      <x:c r="L9" s="61" t="str">
        <x:v>CANONICAL_PARTIAL</x:v>
      </x:c>
    </x:row>
    <x:row r="10">
      <x:c r="A10" s="65" t="str">
        <x:v>RES_SHIELD</x:v>
      </x:c>
      <x:c r="B10" s="65" t="str">
        <x:v>Integrità Scudo</x:v>
      </x:c>
      <x:c r="C10" s="65" t="str">
        <x:v>Steel</x:v>
      </x:c>
      <x:c r="D10" s="65" t="n">
        <x:v>100</x:v>
      </x:c>
      <x:c r="E10" s="65" t="n">
        <x:v>100</x:v>
      </x:c>
      <x:c r="F10" s="65" t="n">
        <x:v>15</x:v>
      </x:c>
      <x:c r="G10" s="65" t="str">
        <x:v>Cleanup</x:v>
      </x:c>
      <x:c r="H10" s="65" t="str">
        <x:v>Difesa/interpose</x:v>
      </x:c>
      <x:c r="I10" s="65" t="str">
        <x:v>Break a 0</x:v>
      </x:c>
      <x:c r="J10" s="65" t="str">
        <x:v>Team-visible</x:v>
      </x:c>
      <x:c r="K10" s="61" t="str">
        <x:v>v0.2</x:v>
      </x:c>
      <x:c r="L10" s="61" t="str">
        <x:v>DESIGN_SPEC</x:v>
      </x:c>
    </x:row>
    <x:row r="11">
      <x:c r="A11" s="65" t="str">
        <x:v>RES_THERMAL</x:v>
      </x:c>
      <x:c r="B11" s="65" t="str">
        <x:v>Cariche Termiche</x:v>
      </x:c>
      <x:c r="C11" s="65" t="str">
        <x:v>Aurora</x:v>
      </x:c>
      <x:c r="D11" s="65" t="n">
        <x:v>100</x:v>
      </x:c>
      <x:c r="E11" s="65" t="n">
        <x:v>40</x:v>
      </x:c>
      <x:c r="F11" s="65" t="n">
        <x:v>10</x:v>
      </x:c>
      <x:c r="G11" s="65" t="str">
        <x:v>Cold action</x:v>
      </x:c>
      <x:c r="H11" s="65" t="str">
        <x:v>Freeze/terrain</x:v>
      </x:c>
      <x:c r="I11" s="65" t="str">
        <x:v>Heat riduce</x:v>
      </x:c>
      <x:c r="J11" s="65" t="str">
        <x:v>Team-visible</x:v>
      </x:c>
      <x:c r="K11" s="61" t="str">
        <x:v>v0.2</x:v>
      </x:c>
      <x:c r="L11" s="61" t="str">
        <x:v>DESIGN_SPEC</x:v>
      </x:c>
    </x:row>
    <x:row r="12">
      <x:c r="A12" s="65" t="str">
        <x:v>RES_AMMO</x:v>
      </x:c>
      <x:c r="B12" s="65" t="str">
        <x:v>Munizioni Speciali</x:v>
      </x:c>
      <x:c r="C12" s="65" t="str">
        <x:v>Murdock</x:v>
      </x:c>
      <x:c r="D12" s="65" t="n">
        <x:v>4</x:v>
      </x:c>
      <x:c r="E12" s="65" t="n">
        <x:v>4</x:v>
      </x:c>
      <x:c r="F12" s="65" t="n">
        <x:v>1</x:v>
      </x:c>
      <x:c r="G12" s="65" t="str">
        <x:v>Wait/Reload</x:v>
      </x:c>
      <x:c r="H12" s="65" t="str">
        <x:v>Rail/Tracer</x:v>
      </x:c>
      <x:c r="I12" s="65" t="str">
        <x:v>Reload costs action</x:v>
      </x:c>
      <x:c r="J12" s="65" t="str">
        <x:v>Team-visible</x:v>
      </x:c>
      <x:c r="K12" s="61" t="str">
        <x:v>v0.2</x:v>
      </x:c>
      <x:c r="L12" s="61" t="str">
        <x:v>DESIGN_SPEC</x:v>
      </x:c>
    </x:row>
    <x:row r="13">
      <x:c r="A13" s="61" t="str">
        <x:v>RES_STORM</x:v>
      </x:c>
      <x:c r="B13" s="61" t="str">
        <x:v>Carica Tempesta</x:v>
      </x:c>
      <x:c r="C13" s="61" t="str">
        <x:v>Kwang</x:v>
      </x:c>
      <x:c r="D13" s="61" t="n">
        <x:v>100</x:v>
      </x:c>
      <x:c r="E13" s="61" t="n">
        <x:v>25</x:v>
      </x:c>
      <x:c r="F13" s="61" t="n">
        <x:v>15</x:v>
      </x:c>
      <x:c r="G13" s="61" t="str">
        <x:v>Electric interaction</x:v>
      </x:c>
      <x:c r="H13" s="61" t="str">
        <x:v>Chain/counter</x:v>
      </x:c>
      <x:c r="I13" s="61" t="str">
        <x:v>Decay 10/turn</x:v>
      </x:c>
      <x:c r="J13" s="61" t="str">
        <x:v>Team-visible</x:v>
      </x:c>
      <x:c r="K13" s="61" t="str">
        <x:v>v0.2</x:v>
      </x:c>
      <x:c r="L13" s="61" t="str">
        <x:v>DESIGN_SPEC</x:v>
      </x:c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</x:row>
  </x:sheetData>
  <x:mergeCells>
    <x:mergeCell ref="A1:J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</x:cols>
  <x:sheetData>
    <x:row r="1" ht="28" customHeight="1">
      <x:c r="A1" s="53" t="str">
        <x:v>Equipaggiamento — canonico v0.1 + design v0.2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 s="63" t="str">
        <x:v>Equipment_ID</x:v>
      </x:c>
      <x:c r="B3" s="63" t="str">
        <x:v>Hero_Affinity</x:v>
      </x:c>
      <x:c r="C3" s="63" t="str">
        <x:v>Slot</x:v>
      </x:c>
      <x:c r="D3" s="63" t="str">
        <x:v>Nome</x:v>
      </x:c>
      <x:c r="E3" s="63" t="str">
        <x:v>Ruolo_Affinity</x:v>
      </x:c>
      <x:c r="F3" s="63" t="str">
        <x:v>Budget</x:v>
      </x:c>
      <x:c r="G3" s="63" t="str">
        <x:v>Vantaggio</x:v>
      </x:c>
      <x:c r="H3" s="63" t="str">
        <x:v>Svantaggio</x:v>
      </x:c>
      <x:c r="I3" s="63" t="str">
        <x:v>Sinergia</x:v>
      </x:c>
      <x:c r="J3" s="63" t="str">
        <x:v>Principio</x:v>
      </x:c>
      <x:c r="K3" s="58" t="str">
        <x:v>ReleaseVersion</x:v>
      </x:c>
      <x:c r="L3" s="58" t="str">
        <x:v>Implementation_Status</x:v>
      </x:c>
    </x:row>
    <x:row r="4">
      <x:c r="A4" s="65" t="str">
        <x:v>Weapon.Precision</x:v>
      </x:c>
      <x:c r="B4" s="65" t="str">
        <x:v>Any</x:v>
      </x:c>
      <x:c r="C4" s="65" t="str">
        <x:v>Weapon</x:v>
      </x:c>
      <x:c r="D4" s="65" t="str">
        <x:v>Precisione</x:v>
      </x:c>
      <x:c r="E4" s="65"/>
      <x:c r="F4" s="65"/>
      <x:c r="G4" s="65" t="str">
        <x:v>+1 range</x:v>
      </x:c>
      <x:c r="H4" s="65" t="str">
        <x:v>−4 danni</x:v>
      </x:c>
      <x:c r="I4" s="65" t="str">
        <x:v>Attacco base</x:v>
      </x:c>
      <x:c r="J4" s="65" t="str">
        <x:v>Scelta orizzontale</x:v>
      </x:c>
      <x:c r="K4" s="61" t="str">
        <x:v>v0.1</x:v>
      </x:c>
      <x:c r="L4" s="61" t="str">
        <x:v>CANONICAL</x:v>
      </x:c>
    </x:row>
    <x:row r="5">
      <x:c r="A5" s="65" t="str">
        <x:v>Weapon.Impact</x:v>
      </x:c>
      <x:c r="B5" s="65" t="str">
        <x:v>Any</x:v>
      </x:c>
      <x:c r="C5" s="65" t="str">
        <x:v>Weapon</x:v>
      </x:c>
      <x:c r="D5" s="65" t="str">
        <x:v>Impatto</x:v>
      </x:c>
      <x:c r="E5" s="65"/>
      <x:c r="F5" s="65"/>
      <x:c r="G5" s="65" t="str">
        <x:v>Applica Push 1</x:v>
      </x:c>
      <x:c r="H5" s="65" t="str">
        <x:v>−1 range</x:v>
      </x:c>
      <x:c r="I5" s="65" t="str">
        <x:v>Attacco base</x:v>
      </x:c>
      <x:c r="J5" s="65" t="str">
        <x:v>Scelta orizzontale</x:v>
      </x:c>
      <x:c r="K5" s="61" t="str">
        <x:v>v0.1</x:v>
      </x:c>
      <x:c r="L5" s="61" t="str">
        <x:v>CANONICAL</x:v>
      </x:c>
    </x:row>
    <x:row r="6">
      <x:c r="A6" s="65" t="str">
        <x:v>Weapon.Overcharge</x:v>
      </x:c>
      <x:c r="B6" s="65" t="str">
        <x:v>Any</x:v>
      </x:c>
      <x:c r="C6" s="65" t="str">
        <x:v>Weapon</x:v>
      </x:c>
      <x:c r="D6" s="65" t="str">
        <x:v>Sovraccarico</x:v>
      </x:c>
      <x:c r="E6" s="65"/>
      <x:c r="F6" s="65"/>
      <x:c r="G6" s="65" t="str">
        <x:v>+6 danni</x:v>
      </x:c>
      <x:c r="H6" s="65" t="str">
        <x:v>Cooldown +1</x:v>
      </x:c>
      <x:c r="I6" s="65" t="str">
        <x:v>Attacco base</x:v>
      </x:c>
      <x:c r="J6" s="65" t="str">
        <x:v>Scelta orizzontale</x:v>
      </x:c>
      <x:c r="K6" s="61" t="str">
        <x:v>v0.1</x:v>
      </x:c>
      <x:c r="L6" s="61" t="str">
        <x:v>CANONICAL</x:v>
      </x:c>
    </x:row>
    <x:row r="7">
      <x:c r="A7" s="65" t="str">
        <x:v>Weapon.Split</x:v>
      </x:c>
      <x:c r="B7" s="65" t="str">
        <x:v>Any</x:v>
      </x:c>
      <x:c r="C7" s="65" t="str">
        <x:v>Weapon</x:v>
      </x:c>
      <x:c r="D7" s="65" t="str">
        <x:v>Multiplo</x:v>
      </x:c>
      <x:c r="E7" s="65"/>
      <x:c r="F7" s="65"/>
      <x:c r="G7" s="65" t="str">
        <x:v>Bersaglio aggiuntivo</x:v>
      </x:c>
      <x:c r="H7" s="65" t="str">
        <x:v>−6 danni</x:v>
      </x:c>
      <x:c r="I7" s="65" t="str">
        <x:v>Attacco base</x:v>
      </x:c>
      <x:c r="J7" s="65" t="str">
        <x:v>Scelta orizzontale</x:v>
      </x:c>
      <x:c r="K7" s="61" t="str">
        <x:v>v0.1</x:v>
      </x:c>
      <x:c r="L7" s="61" t="str">
        <x:v>CANONICAL</x:v>
      </x:c>
    </x:row>
    <x:row r="8">
      <x:c r="A8" s="65" t="str">
        <x:v>Weapon.Suppressive</x:v>
      </x:c>
      <x:c r="B8" s="65" t="str">
        <x:v>Any</x:v>
      </x:c>
      <x:c r="C8" s="65" t="str">
        <x:v>Weapon</x:v>
      </x:c>
      <x:c r="D8" s="65" t="str">
        <x:v>Soppressione</x:v>
      </x:c>
      <x:c r="E8" s="65"/>
      <x:c r="F8" s="65"/>
      <x:c r="G8" s="65" t="str">
        <x:v>Applica Slow</x:v>
      </x:c>
      <x:c r="H8" s="65" t="str">
        <x:v>−5 danni</x:v>
      </x:c>
      <x:c r="I8" s="65" t="str">
        <x:v>Attacco base</x:v>
      </x:c>
      <x:c r="J8" s="65" t="str">
        <x:v>Scelta orizzontale</x:v>
      </x:c>
      <x:c r="K8" s="61" t="str">
        <x:v>v0.1</x:v>
      </x:c>
      <x:c r="L8" s="61" t="str">
        <x:v>CANONICAL</x:v>
      </x:c>
    </x:row>
    <x:row r="9">
      <x:c r="A9" s="65" t="str">
        <x:v>Weapon.Environmental</x:v>
      </x:c>
      <x:c r="B9" s="65" t="str">
        <x:v>Any</x:v>
      </x:c>
      <x:c r="C9" s="65" t="str">
        <x:v>Weapon</x:v>
      </x:c>
      <x:c r="D9" s="65" t="str">
        <x:v>Ambientale</x:v>
      </x:c>
      <x:c r="E9" s="65"/>
      <x:c r="F9" s="65"/>
      <x:c r="G9" s="65" t="str">
        <x:v>Migliora hazard</x:v>
      </x:c>
      <x:c r="H9" s="65" t="str">
        <x:v>−5 danni diretti</x:v>
      </x:c>
      <x:c r="I9" s="65" t="str">
        <x:v>Attacco base</x:v>
      </x:c>
      <x:c r="J9" s="65" t="str">
        <x:v>Scelta orizzontale</x:v>
      </x:c>
      <x:c r="K9" s="61" t="str">
        <x:v>v0.1</x:v>
      </x:c>
      <x:c r="L9" s="61" t="str">
        <x:v>CANONICAL</x:v>
      </x:c>
    </x:row>
    <x:row r="10">
      <x:c r="A10" s="65" t="str">
        <x:v>Gadget.Medkit</x:v>
      </x:c>
      <x:c r="B10" s="65" t="str">
        <x:v>Any</x:v>
      </x:c>
      <x:c r="C10" s="65" t="str">
        <x:v>Gadget</x:v>
      </x:c>
      <x:c r="D10" s="65" t="str">
        <x:v>Medkit</x:v>
      </x:c>
      <x:c r="E10" s="65"/>
      <x:c r="F10" s="65"/>
      <x:c r="G10" s="65" t="str">
        <x:v>Cura 18</x:v>
      </x:c>
      <x:c r="H10" s="65"/>
      <x:c r="I10" s="65" t="str">
        <x:v>Support</x:v>
      </x:c>
      <x:c r="J10" s="65" t="str">
        <x:v>Cooldown 3</x:v>
      </x:c>
      <x:c r="K10" s="61" t="str">
        <x:v>v0.1</x:v>
      </x:c>
      <x:c r="L10" s="61" t="str">
        <x:v>CANONICAL</x:v>
      </x:c>
    </x:row>
    <x:row r="11">
      <x:c r="A11" s="65" t="str">
        <x:v>Gadget.BreachCharge</x:v>
      </x:c>
      <x:c r="B11" s="65" t="str">
        <x:v>Any</x:v>
      </x:c>
      <x:c r="C11" s="65" t="str">
        <x:v>Gadget</x:v>
      </x:c>
      <x:c r="D11" s="65" t="str">
        <x:v>Carica da breccia</x:v>
      </x:c>
      <x:c r="E11" s="65"/>
      <x:c r="F11" s="65"/>
      <x:c r="G11" s="65" t="str">
        <x:v>35 danni a struttura</x:v>
      </x:c>
      <x:c r="H11" s="65"/>
      <x:c r="I11" s="65" t="str">
        <x:v>Map</x:v>
      </x:c>
      <x:c r="J11" s="65" t="str">
        <x:v>Cooldown 3</x:v>
      </x:c>
      <x:c r="K11" s="61" t="str">
        <x:v>v0.1</x:v>
      </x:c>
      <x:c r="L11" s="61" t="str">
        <x:v>CANONICAL</x:v>
      </x:c>
    </x:row>
    <x:row r="12">
      <x:c r="A12" s="65" t="str">
        <x:v>Gadget.Sprinkler</x:v>
      </x:c>
      <x:c r="B12" s="65" t="str">
        <x:v>Any</x:v>
      </x:c>
      <x:c r="C12" s="65" t="str">
        <x:v>Gadget</x:v>
      </x:c>
      <x:c r="D12" s="65" t="str">
        <x:v>Sprinkler</x:v>
      </x:c>
      <x:c r="E12" s="65"/>
      <x:c r="F12" s="65"/>
      <x:c r="G12" s="65" t="str">
        <x:v>Acqua raggio 1</x:v>
      </x:c>
      <x:c r="H12" s="65"/>
      <x:c r="I12" s="65" t="str">
        <x:v>Water combo</x:v>
      </x:c>
      <x:c r="J12" s="65" t="str">
        <x:v>Cooldown 3</x:v>
      </x:c>
      <x:c r="K12" s="61" t="str">
        <x:v>v0.1</x:v>
      </x:c>
      <x:c r="L12" s="61" t="str">
        <x:v>CANONICAL</x:v>
      </x:c>
    </x:row>
    <x:row r="13">
      <x:c r="A13" s="65" t="str">
        <x:v>Gadget.Insulator</x:v>
      </x:c>
      <x:c r="B13" s="65" t="str">
        <x:v>Any</x:v>
      </x:c>
      <x:c r="C13" s="65" t="str">
        <x:v>Gadget</x:v>
      </x:c>
      <x:c r="D13" s="65" t="str">
        <x:v>Isolante</x:v>
      </x:c>
      <x:c r="E13" s="65"/>
      <x:c r="F13" s="65"/>
      <x:c r="G13" s="65" t="str">
        <x:v>Immunità a una propagazione elettrica</x:v>
      </x:c>
      <x:c r="H13" s="65"/>
      <x:c r="I13" s="65" t="str">
        <x:v>Electric defense</x:v>
      </x:c>
      <x:c r="J13" s="65" t="str">
        <x:v>Cooldown 3</x:v>
      </x:c>
      <x:c r="K13" s="61" t="str">
        <x:v>v0.1</x:v>
      </x:c>
      <x:c r="L13" s="61" t="str">
        <x:v>CANONICAL</x:v>
      </x:c>
    </x:row>
    <x:row r="14">
      <x:c r="A14" s="65" t="str">
        <x:v>Gadget.SmokeEmitter</x:v>
      </x:c>
      <x:c r="B14" s="65" t="str">
        <x:v>Any</x:v>
      </x:c>
      <x:c r="C14" s="65" t="str">
        <x:v>Gadget</x:v>
      </x:c>
      <x:c r="D14" s="65" t="str">
        <x:v>Emettitore di fumo</x:v>
      </x:c>
      <x:c r="E14" s="65"/>
      <x:c r="F14" s="65"/>
      <x:c r="G14" s="65" t="str">
        <x:v>Fumo raggio 1</x:v>
      </x:c>
      <x:c r="H14" s="65"/>
      <x:c r="I14" s="65" t="str">
        <x:v>Vision</x:v>
      </x:c>
      <x:c r="J14" s="65" t="str">
        <x:v>Cooldown 3</x:v>
      </x:c>
      <x:c r="K14" s="61" t="str">
        <x:v>v0.1</x:v>
      </x:c>
      <x:c r="L14" s="61" t="str">
        <x:v>CANONICAL</x:v>
      </x:c>
    </x:row>
    <x:row r="15">
      <x:c r="A15" s="65" t="str">
        <x:v>Gadget.PortableCover</x:v>
      </x:c>
      <x:c r="B15" s="65" t="str">
        <x:v>Any</x:v>
      </x:c>
      <x:c r="C15" s="65" t="str">
        <x:v>Gadget</x:v>
      </x:c>
      <x:c r="D15" s="65" t="str">
        <x:v>Copertura portatile</x:v>
      </x:c>
      <x:c r="E15" s="65"/>
      <x:c r="F15" s="65"/>
      <x:c r="G15" s="65" t="str">
        <x:v>Crea copertura bassa</x:v>
      </x:c>
      <x:c r="H15" s="65"/>
      <x:c r="I15" s="65" t="str">
        <x:v>Structures</x:v>
      </x:c>
      <x:c r="J15" s="65" t="str">
        <x:v>Cooldown 3</x:v>
      </x:c>
      <x:c r="K15" s="61" t="str">
        <x:v>v0.1</x:v>
      </x:c>
      <x:c r="L15" s="61" t="str">
        <x:v>CANONICAL</x:v>
      </x:c>
    </x:row>
    <x:row r="16">
      <x:c r="A16" s="65" t="str">
        <x:v>Gadget.Sensor</x:v>
      </x:c>
      <x:c r="B16" s="65" t="str">
        <x:v>Any</x:v>
      </x:c>
      <x:c r="C16" s="65" t="str">
        <x:v>Gadget</x:v>
      </x:c>
      <x:c r="D16" s="65" t="str">
        <x:v>Sensore</x:v>
      </x:c>
      <x:c r="E16" s="65"/>
      <x:c r="F16" s="65"/>
      <x:c r="G16" s="65" t="str">
        <x:v>Rivela un'area</x:v>
      </x:c>
      <x:c r="H16" s="65"/>
      <x:c r="I16" s="65" t="str">
        <x:v>Vision</x:v>
      </x:c>
      <x:c r="J16" s="65" t="str">
        <x:v>Cooldown 3; raggio/durata non specificati</x:v>
      </x:c>
      <x:c r="K16" s="61" t="str">
        <x:v>v0.1</x:v>
      </x:c>
      <x:c r="L16" s="61" t="str">
        <x:v>CANONICAL_PARTIAL</x:v>
      </x:c>
    </x:row>
    <x:row r="17">
      <x:c r="A17" s="65" t="str">
        <x:v>Gadget.Anchor</x:v>
      </x:c>
      <x:c r="B17" s="65" t="str">
        <x:v>Any</x:v>
      </x:c>
      <x:c r="C17" s="65" t="str">
        <x:v>Gadget</x:v>
      </x:c>
      <x:c r="D17" s="65" t="str">
        <x:v>Ancora</x:v>
      </x:c>
      <x:c r="E17" s="65"/>
      <x:c r="F17" s="65"/>
      <x:c r="G17" s="65" t="str">
        <x:v>Impedisce una spinta</x:v>
      </x:c>
      <x:c r="H17" s="65"/>
      <x:c r="I17" s="65" t="str">
        <x:v>Displacement</x:v>
      </x:c>
      <x:c r="J17" s="65" t="str">
        <x:v>Cooldown 3</x:v>
      </x:c>
      <x:c r="K17" s="61" t="str">
        <x:v>v0.1</x:v>
      </x:c>
      <x:c r="L17" s="61" t="str">
        <x:v>CANONICAL</x:v>
      </x:c>
    </x:row>
    <x:row r="18">
      <x:c r="A18" s="65" t="str">
        <x:v>Reaction.EmergencyDash</x:v>
      </x:c>
      <x:c r="B18" s="65" t="str">
        <x:v>Any</x:v>
      </x:c>
      <x:c r="C18" s="65" t="str">
        <x:v>Reaction</x:v>
      </x:c>
      <x:c r="D18" s="65" t="str">
        <x:v>Dash d'emergenza</x:v>
      </x:c>
      <x:c r="E18" s="65"/>
      <x:c r="F18" s="65"/>
      <x:c r="G18" s="65" t="str">
        <x:v>Reposition 1</x:v>
      </x:c>
      <x:c r="H18" s="65"/>
      <x:c r="I18" s="65" t="str">
        <x:v>Reaction</x:v>
      </x:c>
      <x:c r="J18" s="65" t="str">
        <x:v>Trigger: sei bersagliato</x:v>
      </x:c>
      <x:c r="K18" s="61" t="str">
        <x:v>v0.1</x:v>
      </x:c>
      <x:c r="L18" s="61" t="str">
        <x:v>CANONICAL</x:v>
      </x:c>
    </x:row>
    <x:row r="19">
      <x:c r="A19" s="65" t="str">
        <x:v>Reaction.ReactiveShield</x:v>
      </x:c>
      <x:c r="B19" s="65" t="str">
        <x:v>Any</x:v>
      </x:c>
      <x:c r="C19" s="65" t="str">
        <x:v>Reaction</x:v>
      </x:c>
      <x:c r="D19" s="65" t="str">
        <x:v>Scudo reattivo</x:v>
      </x:c>
      <x:c r="E19" s="65"/>
      <x:c r="F19" s="65"/>
      <x:c r="G19" s="65" t="str">
        <x:v>Scudo 15</x:v>
      </x:c>
      <x:c r="H19" s="65"/>
      <x:c r="I19" s="65" t="str">
        <x:v>Reaction</x:v>
      </x:c>
      <x:c r="J19" s="65" t="str">
        <x:v>Trigger: subisci danno</x:v>
      </x:c>
      <x:c r="K19" s="61" t="str">
        <x:v>v0.1</x:v>
      </x:c>
      <x:c r="L19" s="61" t="str">
        <x:v>CANONICAL</x:v>
      </x:c>
    </x:row>
    <x:row r="20">
      <x:c r="A20" s="65" t="str">
        <x:v>Reaction.CounterShot</x:v>
      </x:c>
      <x:c r="B20" s="65" t="str">
        <x:v>Any</x:v>
      </x:c>
      <x:c r="C20" s="65" t="str">
        <x:v>Reaction</x:v>
      </x:c>
      <x:c r="D20" s="65" t="str">
        <x:v>Contrattacco</x:v>
      </x:c>
      <x:c r="E20" s="65"/>
      <x:c r="F20" s="65"/>
      <x:c r="G20" s="65" t="str">
        <x:v>14 danni</x:v>
      </x:c>
      <x:c r="H20" s="65"/>
      <x:c r="I20" s="65" t="str">
        <x:v>Reaction</x:v>
      </x:c>
      <x:c r="J20" s="65" t="str">
        <x:v>Trigger: sei colpito</x:v>
      </x:c>
      <x:c r="K20" s="61" t="str">
        <x:v>v0.1</x:v>
      </x:c>
      <x:c r="L20" s="61" t="str">
        <x:v>CANONICAL</x:v>
      </x:c>
    </x:row>
    <x:row r="21">
      <x:c r="A21" s="65" t="str">
        <x:v>Reaction.AllyIntercept</x:v>
      </x:c>
      <x:c r="B21" s="65" t="str">
        <x:v>Any</x:v>
      </x:c>
      <x:c r="C21" s="65" t="str">
        <x:v>Reaction</x:v>
      </x:c>
      <x:c r="D21" s="65" t="str">
        <x:v>Interposizione</x:v>
      </x:c>
      <x:c r="E21" s="65"/>
      <x:c r="F21" s="65"/>
      <x:c r="G21" s="65" t="str">
        <x:v>Cambia bersaglio</x:v>
      </x:c>
      <x:c r="H21" s="65"/>
      <x:c r="I21" s="65" t="str">
        <x:v>Reaction</x:v>
      </x:c>
      <x:c r="J21" s="65" t="str">
        <x:v>Trigger: alleato bersagliato</x:v>
      </x:c>
      <x:c r="K21" s="61" t="str">
        <x:v>v0.1</x:v>
      </x:c>
      <x:c r="L21" s="61" t="str">
        <x:v>CANONICAL</x:v>
      </x:c>
    </x:row>
    <x:row r="22">
      <x:c r="A22" s="65" t="str">
        <x:v>Reaction.HazardEscape</x:v>
      </x:c>
      <x:c r="B22" s="65" t="str">
        <x:v>Any</x:v>
      </x:c>
      <x:c r="C22" s="65" t="str">
        <x:v>Reaction</x:v>
      </x:c>
      <x:c r="D22" s="65" t="str">
        <x:v>Fuga hazard</x:v>
      </x:c>
      <x:c r="E22" s="65"/>
      <x:c r="F22" s="65"/>
      <x:c r="G22" s="65" t="str">
        <x:v>Reposition 1</x:v>
      </x:c>
      <x:c r="H22" s="65"/>
      <x:c r="I22" s="65" t="str">
        <x:v>Reaction</x:v>
      </x:c>
      <x:c r="J22" s="65" t="str">
        <x:v>Trigger: cella diventa pericolosa</x:v>
      </x:c>
      <x:c r="K22" s="61" t="str">
        <x:v>v0.1</x:v>
      </x:c>
      <x:c r="L22" s="61" t="str">
        <x:v>CANONICAL</x:v>
      </x:c>
    </x:row>
    <x:row r="23">
      <x:c r="A23" s="65" t="str">
        <x:v>Reaction.Cleanse</x:v>
      </x:c>
      <x:c r="B23" s="65" t="str">
        <x:v>Any</x:v>
      </x:c>
      <x:c r="C23" s="65" t="str">
        <x:v>Reaction</x:v>
      </x:c>
      <x:c r="D23" s="65" t="str">
        <x:v>Pulizia automatica</x:v>
      </x:c>
      <x:c r="E23" s="65"/>
      <x:c r="F23" s="65"/>
      <x:c r="G23" s="65" t="str">
        <x:v>Rimuove lo stato</x:v>
      </x:c>
      <x:c r="H23" s="65"/>
      <x:c r="I23" s="65" t="str">
        <x:v>Reaction</x:v>
      </x:c>
      <x:c r="J23" s="65" t="str">
        <x:v>Trigger: ricevi controllo</x:v>
      </x:c>
      <x:c r="K23" s="61" t="str">
        <x:v>v0.1</x:v>
      </x:c>
      <x:c r="L23" s="61" t="str">
        <x:v>CANONICAL</x:v>
      </x:c>
    </x:row>
    <x:row r="24">
      <x:c r="A24" s="61" t="str">
        <x:v>Reaction.Anchor</x:v>
      </x:c>
      <x:c r="B24" s="61" t="str">
        <x:v>Any</x:v>
      </x:c>
      <x:c r="C24" s="61" t="str">
        <x:v>Reaction</x:v>
      </x:c>
      <x:c r="D24" s="61" t="str">
        <x:v>Ancoraggio</x:v>
      </x:c>
      <x:c r="E24" s="61"/>
      <x:c r="F24" s="61"/>
      <x:c r="G24" s="61" t="str">
        <x:v>Annulla Push/Pull</x:v>
      </x:c>
      <x:c r="H24" s="61"/>
      <x:c r="I24" s="61" t="str">
        <x:v>Reaction</x:v>
      </x:c>
      <x:c r="J24" s="61" t="str">
        <x:v>Trigger: ricevi Push/Pull</x:v>
      </x:c>
      <x:c r="K24" s="61" t="str">
        <x:v>v0.1</x:v>
      </x:c>
      <x:c r="L24" s="61" t="str">
        <x:v>CANONICAL</x:v>
      </x:c>
    </x:row>
    <x:row r="25">
      <x:c r="A25" s="61" t="str">
        <x:v>EQ_SHIELD_REINFORCER</x:v>
      </x:c>
      <x:c r="B25" s="61" t="str">
        <x:v>Steel</x:v>
      </x:c>
      <x:c r="C25" s="61" t="str">
        <x:v>Core</x:v>
      </x:c>
      <x:c r="D25" s="61" t="str">
        <x:v>Shield Reinforcer</x:v>
      </x:c>
      <x:c r="E25" s="61" t="str">
        <x:v>Guardian</x:v>
      </x:c>
      <x:c r="F25" s="61" t="n">
        <x:v>2</x:v>
      </x:c>
      <x:c r="G25" s="61" t="str">
        <x:v>Integrità Scudo +25</x:v>
      </x:c>
      <x:c r="H25" s="61" t="str">
        <x:v>Move -1</x:v>
      </x:c>
      <x:c r="I25" s="61" t="str">
        <x:v>Interpose</x:v>
      </x:c>
      <x:c r="J25" s="61" t="str">
        <x:v>No pure upgrade</x:v>
      </x:c>
      <x:c r="K25" s="61" t="str">
        <x:v>v0.2</x:v>
      </x:c>
      <x:c r="L25" s="61" t="str">
        <x:v>DESIGN_SPEC</x:v>
      </x:c>
    </x:row>
    <x:row r="26">
      <x:c r="A26" s="61" t="str">
        <x:v>EQ_KINETIC_BRACE</x:v>
      </x:c>
      <x:c r="B26" s="61" t="str">
        <x:v>Steel</x:v>
      </x:c>
      <x:c r="C26" s="61" t="str">
        <x:v>Gadget</x:v>
      </x:c>
      <x:c r="D26" s="61" t="str">
        <x:v>Kinetic Brace</x:v>
      </x:c>
      <x:c r="E26" s="61" t="str">
        <x:v>Guardian</x:v>
      </x:c>
      <x:c r="F26" s="61" t="n">
        <x:v>2</x:v>
      </x:c>
      <x:c r="G26" s="61" t="str">
        <x:v>Knockback resist +3</x:v>
      </x:c>
      <x:c r="H26" s="61" t="str">
        <x:v>Sight -1</x:v>
      </x:c>
      <x:c r="I26" s="61" t="str">
        <x:v>Brace</x:v>
      </x:c>
      <x:c r="J26" s="61" t="str">
        <x:v>Più stabile, meno informazione</x:v>
      </x:c>
      <x:c r="K26" s="61" t="str">
        <x:v>v0.2</x:v>
      </x:c>
      <x:c r="L26" s="61" t="str">
        <x:v>DESIGN_SPEC</x:v>
      </x:c>
    </x:row>
    <x:row r="27">
      <x:c r="A27" s="61" t="str">
        <x:v>EQ_MOBILE_BARRIER</x:v>
      </x:c>
      <x:c r="B27" s="61" t="str">
        <x:v>Steel</x:v>
      </x:c>
      <x:c r="C27" s="61" t="str">
        <x:v>Core</x:v>
      </x:c>
      <x:c r="D27" s="61" t="str">
        <x:v>Mobile Barrier</x:v>
      </x:c>
      <x:c r="E27" s="61" t="str">
        <x:v>Controller</x:v>
      </x:c>
      <x:c r="F27" s="61" t="n">
        <x:v>3</x:v>
      </x:c>
      <x:c r="G27" s="61" t="str">
        <x:v>Bulwark Arc +1 hex</x:v>
      </x:c>
      <x:c r="H27" s="61" t="str">
        <x:v>Cooldown +1</x:v>
      </x:c>
      <x:c r="I27" s="61" t="str">
        <x:v>Bulwark Arc</x:v>
      </x:c>
      <x:c r="J27" s="61" t="str">
        <x:v>Più controllo, meno frequenza</x:v>
      </x:c>
      <x:c r="K27" s="61" t="str">
        <x:v>v0.2</x:v>
      </x:c>
      <x:c r="L27" s="61" t="str">
        <x:v>DESIGN_SPEC</x:v>
      </x:c>
    </x:row>
    <x:row r="28">
      <x:c r="A28" s="61" t="str">
        <x:v>EQ_CRYO_CORE</x:v>
      </x:c>
      <x:c r="B28" s="61" t="str">
        <x:v>Aurora</x:v>
      </x:c>
      <x:c r="C28" s="61" t="str">
        <x:v>Core</x:v>
      </x:c>
      <x:c r="D28" s="61" t="str">
        <x:v>Cryo Core</x:v>
      </x:c>
      <x:c r="E28" s="61" t="str">
        <x:v>Controller</x:v>
      </x:c>
      <x:c r="F28" s="61" t="n">
        <x:v>2</x:v>
      </x:c>
      <x:c r="G28" s="61" t="str">
        <x:v>Freeze +1 durata</x:v>
      </x:c>
      <x:c r="H28" s="61" t="str">
        <x:v>Danno -15</x:v>
      </x:c>
      <x:c r="I28" s="61" t="str">
        <x:v>Hoarfrost</x:v>
      </x:c>
      <x:c r="J28" s="61" t="str">
        <x:v>Controllo vs burst</x:v>
      </x:c>
      <x:c r="K28" s="61" t="str">
        <x:v>v0.2</x:v>
      </x:c>
      <x:c r="L28" s="61" t="str">
        <x:v>DESIGN_SPEC</x:v>
      </x:c>
    </x:row>
    <x:row r="29">
      <x:c r="A29" s="61" t="str">
        <x:v>EQ_FROST_SKATES</x:v>
      </x:c>
      <x:c r="B29" s="61" t="str">
        <x:v>Aurora</x:v>
      </x:c>
      <x:c r="C29" s="61" t="str">
        <x:v>Boots</x:v>
      </x:c>
      <x:c r="D29" s="61" t="str">
        <x:v>Frost Skates</x:v>
      </x:c>
      <x:c r="E29" s="61" t="str">
        <x:v>Striker</x:v>
      </x:c>
      <x:c r="F29" s="61" t="n">
        <x:v>2</x:v>
      </x:c>
      <x:c r="G29" s="61" t="str">
        <x:v>Move su ghiaccio +2</x:v>
      </x:c>
      <x:c r="H29" s="61" t="str">
        <x:v>Armor -4</x:v>
      </x:c>
      <x:c r="I29" s="61" t="str">
        <x:v>Cold Step</x:v>
      </x:c>
      <x:c r="J29" s="61" t="str">
        <x:v>Mobilità fragile</x:v>
      </x:c>
      <x:c r="K29" s="61" t="str">
        <x:v>v0.2</x:v>
      </x:c>
      <x:c r="L29" s="61" t="str">
        <x:v>DESIGN_SPEC</x:v>
      </x:c>
    </x:row>
    <x:row r="30">
      <x:c r="A30" s="61" t="str">
        <x:v>EQ_WHITEOUT_LENS</x:v>
      </x:c>
      <x:c r="B30" s="61" t="str">
        <x:v>Aurora</x:v>
      </x:c>
      <x:c r="C30" s="61" t="str">
        <x:v>Gadget</x:v>
      </x:c>
      <x:c r="D30" s="61" t="str">
        <x:v>Whiteout Lens</x:v>
      </x:c>
      <x:c r="E30" s="61" t="str">
        <x:v>Controller</x:v>
      </x:c>
      <x:c r="F30" s="61" t="n">
        <x:v>3</x:v>
      </x:c>
      <x:c r="G30" s="61" t="str">
        <x:v>Opacity fumo +1</x:v>
      </x:c>
      <x:c r="H30" s="61" t="str">
        <x:v>Aurora detection -10</x:v>
      </x:c>
      <x:c r="I30" s="61" t="str">
        <x:v>Whiteout</x:v>
      </x:c>
      <x:c r="J30" s="61" t="str">
        <x:v>Nasconde anche l'utilizzatore</x:v>
      </x:c>
      <x:c r="K30" s="61" t="str">
        <x:v>v0.2</x:v>
      </x:c>
      <x:c r="L30" s="61" t="str">
        <x:v>DESIGN_SPEC</x:v>
      </x:c>
    </x:row>
    <x:row r="31">
      <x:c r="A31" s="61" t="str">
        <x:v>EQ_RAIL_COIL</x:v>
      </x:c>
      <x:c r="B31" s="61" t="str">
        <x:v>Murdock</x:v>
      </x:c>
      <x:c r="C31" s="61" t="str">
        <x:v>Weapon</x:v>
      </x:c>
      <x:c r="D31" s="61" t="str">
        <x:v>Rail Coil</x:v>
      </x:c>
      <x:c r="E31" s="61" t="str">
        <x:v>Marksman</x:v>
      </x:c>
      <x:c r="F31" s="61" t="n">
        <x:v>3</x:v>
      </x:c>
      <x:c r="G31" s="61" t="str">
        <x:v>Rail Shot danno +25</x:v>
      </x:c>
      <x:c r="H31" s="61" t="str">
        <x:v>Firma attacco +2</x:v>
      </x:c>
      <x:c r="I31" s="61" t="str">
        <x:v>Rail Shot</x:v>
      </x:c>
      <x:c r="J31" s="61" t="str">
        <x:v>Potenza vs rivelazione</x:v>
      </x:c>
      <x:c r="K31" s="61" t="str">
        <x:v>v0.2</x:v>
      </x:c>
      <x:c r="L31" s="61" t="str">
        <x:v>DESIGN_SPEC</x:v>
      </x:c>
    </x:row>
    <x:row r="32">
      <x:c r="A32" s="61" t="str">
        <x:v>EQ_TRACER_MAG</x:v>
      </x:c>
      <x:c r="B32" s="61" t="str">
        <x:v>Murdock</x:v>
      </x:c>
      <x:c r="C32" s="61" t="str">
        <x:v>Ammo</x:v>
      </x:c>
      <x:c r="D32" s="61" t="str">
        <x:v>Tracer Magazine</x:v>
      </x:c>
      <x:c r="E32" s="61" t="str">
        <x:v>Support</x:v>
      </x:c>
      <x:c r="F32" s="61" t="n">
        <x:v>2</x:v>
      </x:c>
      <x:c r="G32" s="61" t="str">
        <x:v>Tracking +1 turno</x:v>
      </x:c>
      <x:c r="H32" s="61" t="str">
        <x:v>Danno -15</x:v>
      </x:c>
      <x:c r="I32" s="61" t="str">
        <x:v>Tracer Beacon</x:v>
      </x:c>
      <x:c r="J32" s="61" t="str">
        <x:v>Informazione vs danno</x:v>
      </x:c>
      <x:c r="K32" s="61" t="str">
        <x:v>v0.2</x:v>
      </x:c>
      <x:c r="L32" s="61" t="str">
        <x:v>DESIGN_SPEC</x:v>
      </x:c>
    </x:row>
    <x:row r="33">
      <x:c r="A33" s="61" t="str">
        <x:v>EQ_STABILIZED_STOCK</x:v>
      </x:c>
      <x:c r="B33" s="61" t="str">
        <x:v>Murdock</x:v>
      </x:c>
      <x:c r="C33" s="61" t="str">
        <x:v>Weapon</x:v>
      </x:c>
      <x:c r="D33" s="61" t="str">
        <x:v>Stabilized Stock</x:v>
      </x:c>
      <x:c r="E33" s="61" t="str">
        <x:v>Marksman</x:v>
      </x:c>
      <x:c r="F33" s="61" t="n">
        <x:v>2</x:v>
      </x:c>
      <x:c r="G33" s="61" t="str">
        <x:v>Precisione +1</x:v>
      </x:c>
      <x:c r="H33" s="61" t="str">
        <x:v>Move -1 dopo tiro</x:v>
      </x:c>
      <x:c r="I33" s="61" t="str">
        <x:v>Snapshot</x:v>
      </x:c>
      <x:c r="J33" s="61" t="str">
        <x:v>Posizionale</x:v>
      </x:c>
      <x:c r="K33" s="61" t="str">
        <x:v>v0.2</x:v>
      </x:c>
      <x:c r="L33" s="61" t="str">
        <x:v>DESIGN_SPEC</x:v>
      </x:c>
    </x:row>
    <x:row r="34">
      <x:c r="A34" s="61" t="str">
        <x:v>EQ_STORM_CAPACITOR</x:v>
      </x:c>
      <x:c r="B34" s="61" t="str">
        <x:v>Kwang</x:v>
      </x:c>
      <x:c r="C34" s="61" t="str">
        <x:v>Core</x:v>
      </x:c>
      <x:c r="D34" s="61" t="str">
        <x:v>Storm Capacitor</x:v>
      </x:c>
      <x:c r="E34" s="61" t="str">
        <x:v>Controller</x:v>
      </x:c>
      <x:c r="F34" s="61" t="n">
        <x:v>3</x:v>
      </x:c>
      <x:c r="G34" s="61" t="str">
        <x:v>Carica max +25</x:v>
      </x:c>
      <x:c r="H34" s="61" t="str">
        <x:v>Regen -5</x:v>
      </x:c>
      <x:c r="I34" s="61" t="str">
        <x:v>Tempest Circuit</x:v>
      </x:c>
      <x:c r="J34" s="61" t="str">
        <x:v>Picco vs ritmo</x:v>
      </x:c>
      <x:c r="K34" s="61" t="str">
        <x:v>v0.2</x:v>
      </x:c>
      <x:c r="L34" s="61" t="str">
        <x:v>DESIGN_SPEC</x:v>
      </x:c>
    </x:row>
    <x:row r="35">
      <x:c r="A35" s="61" t="str">
        <x:v>EQ_INSULATED_GUARD</x:v>
      </x:c>
      <x:c r="B35" s="61" t="str">
        <x:v>Kwang</x:v>
      </x:c>
      <x:c r="C35" s="61" t="str">
        <x:v>Armor</x:v>
      </x:c>
      <x:c r="D35" s="61" t="str">
        <x:v>Insulated Guard</x:v>
      </x:c>
      <x:c r="E35" s="61" t="str">
        <x:v>Bruiser</x:v>
      </x:c>
      <x:c r="F35" s="61" t="n">
        <x:v>2</x:v>
      </x:c>
      <x:c r="G35" s="61" t="str">
        <x:v>Electric resist +4</x:v>
      </x:c>
      <x:c r="H35" s="61" t="str">
        <x:v>Cold resist -3</x:v>
      </x:c>
      <x:c r="I35" s="61" t="str">
        <x:v>Static Guard</x:v>
      </x:c>
      <x:c r="J35" s="61" t="str">
        <x:v>Affinità con vulnerabilità</x:v>
      </x:c>
      <x:c r="K35" s="61" t="str">
        <x:v>v0.2</x:v>
      </x:c>
      <x:c r="L35" s="61" t="str">
        <x:v>DESIGN_SPEC</x:v>
      </x:c>
    </x:row>
    <x:row r="36">
      <x:c r="A36" s="61" t="str">
        <x:v>EQ_ANCHOR_CHAIN</x:v>
      </x:c>
      <x:c r="B36" s="61" t="str">
        <x:v>Kwang</x:v>
      </x:c>
      <x:c r="C36" s="61" t="str">
        <x:v>Weapon</x:v>
      </x:c>
      <x:c r="D36" s="61" t="str">
        <x:v>Anchor Chain</x:v>
      </x:c>
      <x:c r="E36" s="61" t="str">
        <x:v>Controller</x:v>
      </x:c>
      <x:c r="F36" s="61" t="n">
        <x:v>2</x:v>
      </x:c>
      <x:c r="G36" s="61" t="str">
        <x:v>Sword Anchor range +1</x:v>
      </x:c>
      <x:c r="H36" s="61" t="str">
        <x:v>Return cost +5</x:v>
      </x:c>
      <x:c r="I36" s="61" t="str">
        <x:v>Sword Anchor</x:v>
      </x:c>
      <x:c r="J36" s="61" t="str">
        <x:v>Setup più forte</x:v>
      </x:c>
      <x:c r="K36" s="61" t="str">
        <x:v>v0.2</x:v>
      </x:c>
      <x:c r="L36" s="61" t="str">
        <x:v>DESIGN_SPEC</x:v>
      </x:c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34" hidden="0" customWidth="1"/>
    <x:col min="5" max="5" width="34" hidden="0" customWidth="1"/>
    <x:col min="6" max="6" width="34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53" t="str">
        <x:v>Varianti abilità — scelte laterali per release</x:v>
      </x:c>
      <x:c r="B1" s="53"/>
      <x:c r="C1" s="53"/>
      <x:c r="D1" s="53"/>
      <x:c r="E1" s="53"/>
      <x:c r="F1" s="53"/>
      <x:c r="G1" s="53"/>
      <x:c r="H1" s="53"/>
      <x:c r="I1" s="53"/>
    </x:row>
    <x:row r="2">
      <x:c r="A2"/>
      <x:c r="B2"/>
      <x:c r="C2"/>
      <x:c r="D2"/>
      <x:c r="E2"/>
      <x:c r="F2"/>
      <x:c r="G2"/>
      <x:c r="H2"/>
      <x:c r="I2"/>
    </x:row>
    <x:row r="3">
      <x:c r="A3" s="63" t="str">
        <x:v>Variant_ID</x:v>
      </x:c>
      <x:c r="B3" s="63" t="str">
        <x:v>Hero</x:v>
      </x:c>
      <x:c r="C3" s="63" t="str">
        <x:v>Nome</x:v>
      </x:c>
      <x:c r="D3" s="63" t="str">
        <x:v>Vantaggio</x:v>
      </x:c>
      <x:c r="E3" s="63" t="str">
        <x:v>Svantaggio</x:v>
      </x:c>
      <x:c r="F3" s="63" t="str">
        <x:v>Incompatibile_Con</x:v>
      </x:c>
      <x:c r="G3" s="63" t="str">
        <x:v>Specializzazione</x:v>
      </x:c>
      <x:c r="H3" s="58" t="str">
        <x:v>ReleaseVersion</x:v>
      </x:c>
      <x:c r="I3" s="58" t="str">
        <x:v>Implementation_Status</x:v>
      </x:c>
    </x:row>
    <x:row r="4">
      <x:c r="A4" s="65" t="str">
        <x:v>Flux.LinearDischarge.Concentrated</x:v>
      </x:c>
      <x:c r="B4" s="65" t="str">
        <x:v>Flux</x:v>
      </x:c>
      <x:c r="C4" s="65" t="str">
        <x:v>Scarica concentrata</x:v>
      </x:c>
      <x:c r="D4" s="65" t="str">
        <x:v>+6 danni (30 totali)</x:v>
      </x:c>
      <x:c r="E4" s="65" t="str">
        <x:v>Non si propaga a un secondo bersaglio</x:v>
      </x:c>
      <x:c r="F4" s="65" t="str">
        <x:v>Flux.LinearDischarge.Branched</x:v>
      </x:c>
      <x:c r="G4" s="65" t="str">
        <x:v>Burst</x:v>
      </x:c>
      <x:c r="H4" s="61" t="str">
        <x:v>v0.1</x:v>
      </x:c>
      <x:c r="I4" s="61" t="str">
        <x:v>CANONICAL</x:v>
      </x:c>
    </x:row>
    <x:row r="5">
      <x:c r="A5" s="65" t="str">
        <x:v>Flux.LinearDischarge.Branched</x:v>
      </x:c>
      <x:c r="B5" s="65" t="str">
        <x:v>Flux</x:v>
      </x:c>
      <x:c r="C5" s="65" t="str">
        <x:v>Scarica ramificata</x:v>
      </x:c>
      <x:c r="D5" s="65" t="str">
        <x:v>Un bersaglio aggiuntivo</x:v>
      </x:c>
      <x:c r="E5" s="65" t="str">
        <x:v>−6 danni per bersaglio (18 ciascuno)</x:v>
      </x:c>
      <x:c r="F5" s="65" t="str">
        <x:v>Flux.LinearDischarge.Concentrated</x:v>
      </x:c>
      <x:c r="G5" s="65" t="str">
        <x:v>Multi-target</x:v>
      </x:c>
      <x:c r="H5" s="61" t="str">
        <x:v>v0.1</x:v>
      </x:c>
      <x:c r="I5" s="61" t="str">
        <x:v>CANONICAL</x:v>
      </x:c>
    </x:row>
    <x:row r="6">
      <x:c r="A6" s="65" t="str">
        <x:v>Riva.CircularTide.Healing</x:v>
      </x:c>
      <x:c r="B6" s="65" t="str">
        <x:v>Riva</x:v>
      </x:c>
      <x:c r="C6" s="65" t="str">
        <x:v>Marea curativa</x:v>
      </x:c>
      <x:c r="D6" s="65" t="str">
        <x:v>Cura 24 invece di 18</x:v>
      </x:c>
      <x:c r="E6" s="65" t="str">
        <x:v>Non applica Wet ai nemici</x:v>
      </x:c>
      <x:c r="F6" s="65" t="str">
        <x:v>Riva.CircularTide.Impact</x:v>
      </x:c>
      <x:c r="G6" s="65" t="str">
        <x:v>Support</x:v>
      </x:c>
      <x:c r="H6" s="61" t="str">
        <x:v>v0.1</x:v>
      </x:c>
      <x:c r="I6" s="61" t="str">
        <x:v>CANONICAL</x:v>
      </x:c>
    </x:row>
    <x:row r="7">
      <x:c r="A7" s="65" t="str">
        <x:v>Riva.CircularTide.Impact</x:v>
      </x:c>
      <x:c r="B7" s="65" t="str">
        <x:v>Riva</x:v>
      </x:c>
      <x:c r="C7" s="65" t="str">
        <x:v>Marea d'urto</x:v>
      </x:c>
      <x:c r="D7" s="65" t="str">
        <x:v>Applica Push 1 ai nemici</x:v>
      </x:c>
      <x:c r="E7" s="65" t="str">
        <x:v>Cura solo 10</x:v>
      </x:c>
      <x:c r="F7" s="65" t="str">
        <x:v>Riva.CircularTide.Healing</x:v>
      </x:c>
      <x:c r="G7" s="65" t="str">
        <x:v>Control</x:v>
      </x:c>
      <x:c r="H7" s="61" t="str">
        <x:v>v0.1</x:v>
      </x:c>
      <x:c r="I7" s="61" t="str">
        <x:v>CANONICAL</x:v>
      </x:c>
    </x:row>
    <x:row r="8">
      <x:c r="A8" s="65" t="str">
        <x:v>Bastion.KineticPanel.Reinforced</x:v>
      </x:c>
      <x:c r="B8" s="65" t="str">
        <x:v>Bastion</x:v>
      </x:c>
      <x:c r="C8" s="65" t="str">
        <x:v>Pannello rinforzato</x:v>
      </x:c>
      <x:c r="D8" s="65" t="str">
        <x:v>Integrità 45</x:v>
      </x:c>
      <x:c r="E8" s="65" t="str">
        <x:v>Durata 1 turno</x:v>
      </x:c>
      <x:c r="F8" s="65" t="str">
        <x:v>Bastion.KineticPanel.Adaptive</x:v>
      </x:c>
      <x:c r="G8" s="65" t="str">
        <x:v>Guardian</x:v>
      </x:c>
      <x:c r="H8" s="61" t="str">
        <x:v>v0.1</x:v>
      </x:c>
      <x:c r="I8" s="61" t="str">
        <x:v>CANONICAL</x:v>
      </x:c>
    </x:row>
    <x:row r="9">
      <x:c r="A9" s="65" t="str">
        <x:v>Bastion.KineticPanel.Adaptive</x:v>
      </x:c>
      <x:c r="B9" s="65" t="str">
        <x:v>Bastion</x:v>
      </x:c>
      <x:c r="C9" s="65" t="str">
        <x:v>Pannello adattivo</x:v>
      </x:c>
      <x:c r="D9" s="65" t="str">
        <x:v>1 rotazione gratuita</x:v>
      </x:c>
      <x:c r="E9" s="65" t="str">
        <x:v>Integrità 25</x:v>
      </x:c>
      <x:c r="F9" s="65" t="str">
        <x:v>Bastion.KineticPanel.Reinforced</x:v>
      </x:c>
      <x:c r="G9" s="65" t="str">
        <x:v>Controller</x:v>
      </x:c>
      <x:c r="H9" s="61" t="str">
        <x:v>v0.1</x:v>
      </x:c>
      <x:c r="I9" s="61" t="str">
        <x:v>CANONICAL</x:v>
      </x:c>
    </x:row>
    <x:row r="10">
      <x:c r="A10" s="65" t="str">
        <x:v>Vektor.InterceptShot.Precise</x:v>
      </x:c>
      <x:c r="B10" s="65" t="str">
        <x:v>Vektor</x:v>
      </x:c>
      <x:c r="C10" s="65" t="str">
        <x:v>Intercetto preciso</x:v>
      </x:c>
      <x:c r="D10" s="65" t="str">
        <x:v>20 danni</x:v>
      </x:c>
      <x:c r="E10" s="65" t="str">
        <x:v>Controlla una sola cella</x:v>
      </x:c>
      <x:c r="F10" s="65" t="str">
        <x:v>Vektor.InterceptShot.Extended</x:v>
      </x:c>
      <x:c r="G10" s="65" t="str">
        <x:v>Duelist</x:v>
      </x:c>
      <x:c r="H10" s="61" t="str">
        <x:v>v0.1</x:v>
      </x:c>
      <x:c r="I10" s="61" t="str">
        <x:v>CANONICAL</x:v>
      </x:c>
    </x:row>
    <x:row r="11">
      <x:c r="A11" s="65" t="str">
        <x:v>Vektor.InterceptShot.Extended</x:v>
      </x:c>
      <x:c r="B11" s="65" t="str">
        <x:v>Vektor</x:v>
      </x:c>
      <x:c r="C11" s="65" t="str">
        <x:v>Intercetto esteso</x:v>
      </x:c>
      <x:c r="D11" s="65" t="str">
        <x:v>Controlla linea di 3 celle</x:v>
      </x:c>
      <x:c r="E11" s="65" t="str">
        <x:v>14 danni</x:v>
      </x:c>
      <x:c r="F11" s="65" t="str">
        <x:v>Vektor.InterceptShot.Precise</x:v>
      </x:c>
      <x:c r="G11" s="65" t="str">
        <x:v>Control</x:v>
      </x:c>
      <x:c r="H11" s="61" t="str">
        <x:v>v0.1</x:v>
      </x:c>
      <x:c r="I11" s="61" t="str">
        <x:v>CANONICAL</x:v>
      </x:c>
    </x:row>
    <x:row r="12">
      <x:c r="A12" s="65" t="str">
        <x:v>VAR_STEEL_01</x:v>
      </x:c>
      <x:c r="B12" s="65" t="str">
        <x:v>Steel</x:v>
      </x:c>
      <x:c r="C12" s="65" t="str">
        <x:v>Fortress</x:v>
      </x:c>
      <x:c r="D12" s="65" t="str">
        <x:v>Bulwark Arc dura +1 turno</x:v>
      </x:c>
      <x:c r="E12" s="65" t="str">
        <x:v>Move -1</x:v>
      </x:c>
      <x:c r="F12" s="65" t="str">
        <x:v>VAR_STEEL_02</x:v>
      </x:c>
      <x:c r="G12" s="65" t="str">
        <x:v>Guardian</x:v>
      </x:c>
      <x:c r="H12" s="61" t="str">
        <x:v>v0.2</x:v>
      </x:c>
      <x:c r="I12" s="61" t="str">
        <x:v>DESIGN_SPEC</x:v>
      </x:c>
    </x:row>
    <x:row r="13">
      <x:c r="A13" s="65" t="str">
        <x:v>VAR_STEEL_02</x:v>
      </x:c>
      <x:c r="B13" s="65" t="str">
        <x:v>Steel</x:v>
      </x:c>
      <x:c r="C13" s="65" t="str">
        <x:v>Battering Ram</x:v>
      </x:c>
      <x:c r="D13" s="65" t="str">
        <x:v>Shield Bash spinge +1</x:v>
      </x:c>
      <x:c r="E13" s="65" t="str">
        <x:v>Integrità Scudo -20</x:v>
      </x:c>
      <x:c r="F13" s="65" t="str">
        <x:v>VAR_STEEL_01</x:v>
      </x:c>
      <x:c r="G13" s="65" t="str">
        <x:v>Controller</x:v>
      </x:c>
      <x:c r="H13" s="61" t="str">
        <x:v>v0.2</x:v>
      </x:c>
      <x:c r="I13" s="61" t="str">
        <x:v>DESIGN_SPEC</x:v>
      </x:c>
    </x:row>
    <x:row r="14">
      <x:c r="A14" s="65" t="str">
        <x:v>VAR_STEEL_03</x:v>
      </x:c>
      <x:c r="B14" s="65" t="str">
        <x:v>Steel</x:v>
      </x:c>
      <x:c r="C14" s="65" t="str">
        <x:v>Rescue Protocol</x:v>
      </x:c>
      <x:c r="D14" s="65" t="str">
        <x:v>Interpose range +1</x:v>
      </x:c>
      <x:c r="E14" s="65" t="str">
        <x:v>Danno trasferito +10%</x:v>
      </x:c>
      <x:c r="F14" s="65"/>
      <x:c r="G14" s="65" t="str">
        <x:v>Support</x:v>
      </x:c>
      <x:c r="H14" s="61" t="str">
        <x:v>v0.2</x:v>
      </x:c>
      <x:c r="I14" s="61" t="str">
        <x:v>DESIGN_SPEC</x:v>
      </x:c>
    </x:row>
    <x:row r="15">
      <x:c r="A15" s="65" t="str">
        <x:v>VAR_STEEL_04</x:v>
      </x:c>
      <x:c r="B15" s="65" t="str">
        <x:v>Steel</x:v>
      </x:c>
      <x:c r="C15" s="65" t="str">
        <x:v>Open Guard</x:v>
      </x:c>
      <x:c r="D15" s="65" t="str">
        <x:v>Spotting +2 dietro scudo</x:v>
      </x:c>
      <x:c r="E15" s="65" t="str">
        <x:v>Cover value -1</x:v>
      </x:c>
      <x:c r="F15" s="65"/>
      <x:c r="G15" s="65" t="str">
        <x:v>Vision</x:v>
      </x:c>
      <x:c r="H15" s="61" t="str">
        <x:v>v0.2</x:v>
      </x:c>
      <x:c r="I15" s="61" t="str">
        <x:v>DESIGN_SPEC</x:v>
      </x:c>
    </x:row>
    <x:row r="16">
      <x:c r="A16" s="65" t="str">
        <x:v>VAR_AURORA_01</x:v>
      </x:c>
      <x:c r="B16" s="65" t="str">
        <x:v>Aurora</x:v>
      </x:c>
      <x:c r="C16" s="65" t="str">
        <x:v>Black Ice</x:v>
      </x:c>
      <x:c r="D16" s="65" t="str">
        <x:v>Ghiaccio aumenta danno elettrico</x:v>
      </x:c>
      <x:c r="E16" s="65" t="str">
        <x:v>Alleati soffrono scivolamento</x:v>
      </x:c>
      <x:c r="F16" s="65" t="str">
        <x:v>VAR_AURORA_02</x:v>
      </x:c>
      <x:c r="G16" s="65" t="str">
        <x:v>Combo</x:v>
      </x:c>
      <x:c r="H16" s="61" t="str">
        <x:v>v0.2</x:v>
      </x:c>
      <x:c r="I16" s="61" t="str">
        <x:v>DESIGN_SPEC</x:v>
      </x:c>
    </x:row>
    <x:row r="17">
      <x:c r="A17" s="65" t="str">
        <x:v>VAR_AURORA_02</x:v>
      </x:c>
      <x:c r="B17" s="65" t="str">
        <x:v>Aurora</x:v>
      </x:c>
      <x:c r="C17" s="65" t="str">
        <x:v>Soft Snow</x:v>
      </x:c>
      <x:c r="D17" s="65" t="str">
        <x:v>Alleati ignorano ghiaccio</x:v>
      </x:c>
      <x:c r="E17" s="65" t="str">
        <x:v>Freeze strength -1</x:v>
      </x:c>
      <x:c r="F17" s="65" t="str">
        <x:v>VAR_AURORA_01</x:v>
      </x:c>
      <x:c r="G17" s="65" t="str">
        <x:v>Support</x:v>
      </x:c>
      <x:c r="H17" s="61" t="str">
        <x:v>v0.2</x:v>
      </x:c>
      <x:c r="I17" s="61" t="str">
        <x:v>DESIGN_SPEC</x:v>
      </x:c>
    </x:row>
    <x:row r="18">
      <x:c r="A18" s="65" t="str">
        <x:v>VAR_AURORA_03</x:v>
      </x:c>
      <x:c r="B18" s="65" t="str">
        <x:v>Aurora</x:v>
      </x:c>
      <x:c r="C18" s="65" t="str">
        <x:v>Dense Whiteout</x:v>
      </x:c>
      <x:c r="D18" s="65" t="str">
        <x:v>Opacity +1</x:v>
      </x:c>
      <x:c r="E18" s="65" t="str">
        <x:v>Durata -1</x:v>
      </x:c>
      <x:c r="F18" s="65"/>
      <x:c r="G18" s="65" t="str">
        <x:v>Vision</x:v>
      </x:c>
      <x:c r="H18" s="61" t="str">
        <x:v>v0.2</x:v>
      </x:c>
      <x:c r="I18" s="61" t="str">
        <x:v>DESIGN_SPEC</x:v>
      </x:c>
    </x:row>
    <x:row r="19">
      <x:c r="A19" s="65" t="str">
        <x:v>VAR_AURORA_04</x:v>
      </x:c>
      <x:c r="B19" s="65" t="str">
        <x:v>Aurora</x:v>
      </x:c>
      <x:c r="C19" s="65" t="str">
        <x:v>Shatter Path</x:v>
      </x:c>
      <x:c r="D19" s="65" t="str">
        <x:v>Dash danneggia cover fragile</x:v>
      </x:c>
      <x:c r="E19" s="65" t="str">
        <x:v>Dash range -1</x:v>
      </x:c>
      <x:c r="F19" s="65"/>
      <x:c r="G19" s="65" t="str">
        <x:v>Map</x:v>
      </x:c>
      <x:c r="H19" s="61" t="str">
        <x:v>v0.2</x:v>
      </x:c>
      <x:c r="I19" s="61" t="str">
        <x:v>DESIGN_SPEC</x:v>
      </x:c>
    </x:row>
    <x:row r="20">
      <x:c r="A20" s="61" t="str">
        <x:v>VAR_MURDOCK_01</x:v>
      </x:c>
      <x:c r="B20" s="61" t="str">
        <x:v>Murdock</x:v>
      </x:c>
      <x:c r="C20" s="61" t="str">
        <x:v>Long Watch</x:v>
      </x:c>
      <x:c r="D20" s="61" t="str">
        <x:v>Overwatch range +2</x:v>
      </x:c>
      <x:c r="E20" s="61" t="str">
        <x:v>Finestra reaction -2 sec</x:v>
      </x:c>
      <x:c r="F20" s="61" t="str">
        <x:v>VAR_MURDOCK_02</x:v>
      </x:c>
      <x:c r="G20" s="61" t="str">
        <x:v>Marksman</x:v>
      </x:c>
      <x:c r="H20" s="61" t="str">
        <x:v>v0.2</x:v>
      </x:c>
      <x:c r="I20" s="61" t="str">
        <x:v>DESIGN_SPEC</x:v>
      </x:c>
    </x:row>
    <x:row r="21" ht="32" customHeight="1">
      <x:c r="A21" s="68" t="str">
        <x:v>VAR_MURDOCK_02</x:v>
      </x:c>
      <x:c r="B21" s="68" t="str">
        <x:v>Murdock</x:v>
      </x:c>
      <x:c r="C21" s="68" t="str">
        <x:v>Fast Track</x:v>
      </x:c>
      <x:c r="D21" s="68" t="str">
        <x:v>Mark Target immediato</x:v>
      </x:c>
      <x:c r="E21" s="68" t="str">
        <x:v>Tracking -1 turno</x:v>
      </x:c>
      <x:c r="F21" s="68" t="str">
        <x:v>VAR_MURDOCK_01</x:v>
      </x:c>
      <x:c r="G21" s="68" t="str">
        <x:v>Vision</x:v>
      </x:c>
      <x:c r="H21" s="61" t="str">
        <x:v>v0.2</x:v>
      </x:c>
      <x:c r="I21" s="61" t="str">
        <x:v>DESIGN_SPEC</x:v>
      </x:c>
    </x:row>
    <x:row r="22">
      <x:c r="A22" s="61" t="str">
        <x:v>VAR_MURDOCK_03</x:v>
      </x:c>
      <x:c r="B22" s="61" t="str">
        <x:v>Murdock</x:v>
      </x:c>
      <x:c r="C22" s="61" t="str">
        <x:v>Breach Rail</x:v>
      </x:c>
      <x:c r="D22" s="61" t="str">
        <x:v>Penetra high cover danneggiata</x:v>
      </x:c>
      <x:c r="E22" s="61" t="str">
        <x:v>Danno -25</x:v>
      </x:c>
      <x:c r="F22" s="61"/>
      <x:c r="G22" s="61" t="str">
        <x:v>Map</x:v>
      </x:c>
      <x:c r="H22" s="61" t="str">
        <x:v>v0.2</x:v>
      </x:c>
      <x:c r="I22" s="61" t="str">
        <x:v>DESIGN_SPEC</x:v>
      </x:c>
    </x:row>
    <x:row r="23">
      <x:c r="A23" s="61" t="str">
        <x:v>VAR_MURDOCK_04</x:v>
      </x:c>
      <x:c r="B23" s="61" t="str">
        <x:v>Murdock</x:v>
      </x:c>
      <x:c r="C23" s="61" t="str">
        <x:v>Safe Trigger</x:v>
      </x:c>
      <x:c r="D23" s="61" t="str">
        <x:v>Friendly fire warning diventa blocco</x:v>
      </x:c>
      <x:c r="E23" s="61" t="str">
        <x:v>Non può sparare in linee incerte</x:v>
      </x:c>
      <x:c r="F23" s="61"/>
      <x:c r="G23" s="61" t="str">
        <x:v>Safety</x:v>
      </x:c>
      <x:c r="H23" s="61" t="str">
        <x:v>v0.2</x:v>
      </x:c>
      <x:c r="I23" s="61" t="str">
        <x:v>DESIGN_SPEC</x:v>
      </x:c>
    </x:row>
    <x:row r="24">
      <x:c r="A24" s="61" t="str">
        <x:v>VAR_KWANG_01</x:v>
      </x:c>
      <x:c r="B24" s="61" t="str">
        <x:v>Kwang</x:v>
      </x:c>
      <x:c r="C24" s="61" t="str">
        <x:v>Deep Conduction</x:v>
      </x:c>
      <x:c r="D24" s="61" t="str">
        <x:v>Catena acqua +1 bersaglio</x:v>
      </x:c>
      <x:c r="E24" s="61" t="str">
        <x:v>Danno primario -15</x:v>
      </x:c>
      <x:c r="F24" s="61" t="str">
        <x:v>VAR_KWANG_02</x:v>
      </x:c>
      <x:c r="G24" s="61" t="str">
        <x:v>Combo</x:v>
      </x:c>
      <x:c r="H24" s="61" t="str">
        <x:v>v0.2</x:v>
      </x:c>
      <x:c r="I24" s="61" t="str">
        <x:v>DESIGN_SPEC</x:v>
      </x:c>
    </x:row>
    <x:row r="25">
      <x:c r="A25" s="61" t="str">
        <x:v>VAR_KWANG_02</x:v>
      </x:c>
      <x:c r="B25" s="61" t="str">
        <x:v>Kwang</x:v>
      </x:c>
      <x:c r="C25" s="61" t="str">
        <x:v>Duelist Circuit</x:v>
      </x:c>
      <x:c r="D25" s="61" t="str">
        <x:v>Storm Slash +20 vs singolo</x:v>
      </x:c>
      <x:c r="E25" s="61" t="str">
        <x:v>Nessuna catena</x:v>
      </x:c>
      <x:c r="F25" s="61" t="str">
        <x:v>VAR_KWANG_01</x:v>
      </x:c>
      <x:c r="G25" s="61" t="str">
        <x:v>Striker</x:v>
      </x:c>
      <x:c r="H25" s="61" t="str">
        <x:v>v0.2</x:v>
      </x:c>
      <x:c r="I25" s="61" t="str">
        <x:v>DESIGN_SPEC</x:v>
      </x:c>
    </x:row>
    <x:row r="26">
      <x:c r="A26" s="61" t="str">
        <x:v>VAR_KWANG_03</x:v>
      </x:c>
      <x:c r="B26" s="61" t="str">
        <x:v>Kwang</x:v>
      </x:c>
      <x:c r="C26" s="61" t="str">
        <x:v>Grounded Anchor</x:v>
      </x:c>
      <x:c r="D26" s="61" t="str">
        <x:v>Sword Anchor crea cover 1</x:v>
      </x:c>
      <x:c r="E26" s="61" t="str">
        <x:v>Return range -1</x:v>
      </x:c>
      <x:c r="F26" s="61"/>
      <x:c r="G26" s="61" t="str">
        <x:v>Controller</x:v>
      </x:c>
      <x:c r="H26" s="61" t="str">
        <x:v>v0.2</x:v>
      </x:c>
      <x:c r="I26" s="61" t="str">
        <x:v>DESIGN_SPEC</x:v>
      </x:c>
    </x:row>
    <x:row r="27">
      <x:c r="A27" s="61" t="str">
        <x:v>VAR_KWANG_04</x:v>
      </x:c>
      <x:c r="B27" s="61" t="str">
        <x:v>Kwang</x:v>
      </x:c>
      <x:c r="C27" s="61" t="str">
        <x:v>Static Veil</x:v>
      </x:c>
      <x:c r="D27" s="61" t="str">
        <x:v>Sensor resist +3</x:v>
      </x:c>
      <x:c r="E27" s="61" t="str">
        <x:v>Sight -1</x:v>
      </x:c>
      <x:c r="F27" s="61"/>
      <x:c r="G27" s="61" t="str">
        <x:v>Stealth</x:v>
      </x:c>
      <x:c r="H27" s="61" t="str">
        <x:v>v0.2</x:v>
      </x:c>
      <x:c r="I27" s="61" t="str">
        <x:v>DESIGN_SPEC</x:v>
      </x:c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</x:sheetData>
  <x:mergeCells>
    <x:mergeCell ref="A1:G1"/>
    <x:mergeCell ref="A21:G2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53" t="str">
        <x:v>Stato dati per Character Wiki — solo roster ufficiale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 s="63" t="str">
        <x:v>Hero_Key</x:v>
      </x:c>
      <x:c r="B3" s="63" t="str">
        <x:v>Hero</x:v>
      </x:c>
      <x:c r="C3" s="63" t="str">
        <x:v>Wiki_File</x:v>
      </x:c>
      <x:c r="D3" s="63" t="str">
        <x:v>Page_Status</x:v>
      </x:c>
      <x:c r="E3" s="63" t="str">
        <x:v>Stats</x:v>
      </x:c>
      <x:c r="F3" s="63" t="str">
        <x:v>Vision</x:v>
      </x:c>
      <x:c r="G3" s="63" t="str">
        <x:v>Mobility</x:v>
      </x:c>
      <x:c r="H3" s="63" t="str">
        <x:v>Signature</x:v>
      </x:c>
      <x:c r="I3" s="63" t="str">
        <x:v>Abilities</x:v>
      </x:c>
      <x:c r="J3" s="63" t="str">
        <x:v>Reactions</x:v>
      </x:c>
      <x:c r="K3" s="63" t="str">
        <x:v>Resource</x:v>
      </x:c>
      <x:c r="L3" s="63" t="str">
        <x:v>Equipment</x:v>
      </x:c>
      <x:c r="M3" s="63" t="str">
        <x:v>Variants</x:v>
      </x:c>
      <x:c r="N3" s="63" t="str">
        <x:v>Talents</x:v>
      </x:c>
      <x:c r="O3" s="63" t="str">
        <x:v>ReleaseVersion</x:v>
      </x:c>
    </x:row>
    <x:row r="4">
      <x:c r="A4" s="65" t="str">
        <x:v>ASSET_FLUX</x:v>
      </x:c>
      <x:c r="B4" s="65" t="str">
        <x:v>Flux</x:v>
      </x:c>
      <x:c r="C4" s="65" t="str">
        <x:v>v0.1/flux.md</x:v>
      </x:c>
      <x:c r="D4" s="65" t="str">
        <x:v>DATA_READY</x:v>
      </x:c>
      <x:c r="E4" s="65" t="str">
        <x:v>PARTIAL_CANONICAL</x:v>
      </x:c>
      <x:c r="F4" s="65" t="str">
        <x:v>BASELINE</x:v>
      </x:c>
      <x:c r="G4" s="65" t="str">
        <x:v>PARTIAL_CANONICAL</x:v>
      </x:c>
      <x:c r="H4" s="65" t="str">
        <x:v>DEFINED</x:v>
      </x:c>
      <x:c r="I4" s="65" t="str">
        <x:v>DEFINED (5)</x:v>
      </x:c>
      <x:c r="J4" s="65" t="str">
        <x:v>DEFINED (1)</x:v>
      </x:c>
      <x:c r="K4" s="65" t="str">
        <x:v>DEFINED</x:v>
      </x:c>
      <x:c r="L4" s="65" t="str">
        <x:v>CANONICAL GENERIC</x:v>
      </x:c>
      <x:c r="M4" s="65" t="str">
        <x:v>DEFINED (2)</x:v>
      </x:c>
      <x:c r="N4" s="65" t="str">
        <x:v>NOT DEFINED</x:v>
      </x:c>
      <x:c r="O4" s="65" t="str">
        <x:v>v0.1</x:v>
      </x:c>
    </x:row>
    <x:row r="5">
      <x:c r="A5" s="65" t="str">
        <x:v>ASSET_RIVA</x:v>
      </x:c>
      <x:c r="B5" s="65" t="str">
        <x:v>Riva</x:v>
      </x:c>
      <x:c r="C5" s="65" t="str">
        <x:v>v0.1/riva.md</x:v>
      </x:c>
      <x:c r="D5" s="65" t="str">
        <x:v>DATA_READY</x:v>
      </x:c>
      <x:c r="E5" s="65" t="str">
        <x:v>PARTIAL_CANONICAL</x:v>
      </x:c>
      <x:c r="F5" s="65" t="str">
        <x:v>BASELINE</x:v>
      </x:c>
      <x:c r="G5" s="65" t="str">
        <x:v>PARTIAL_CANONICAL</x:v>
      </x:c>
      <x:c r="H5" s="65" t="str">
        <x:v>DEFINED</x:v>
      </x:c>
      <x:c r="I5" s="65" t="str">
        <x:v>DEFINED (5)</x:v>
      </x:c>
      <x:c r="J5" s="65" t="str">
        <x:v>DEFINED (1)</x:v>
      </x:c>
      <x:c r="K5" s="65" t="str">
        <x:v>DEFINED</x:v>
      </x:c>
      <x:c r="L5" s="65" t="str">
        <x:v>CANONICAL GENERIC</x:v>
      </x:c>
      <x:c r="M5" s="65" t="str">
        <x:v>DEFINED (2)</x:v>
      </x:c>
      <x:c r="N5" s="65" t="str">
        <x:v>NOT DEFINED</x:v>
      </x:c>
      <x:c r="O5" s="65" t="str">
        <x:v>v0.1</x:v>
      </x:c>
    </x:row>
    <x:row r="6">
      <x:c r="A6" s="65" t="str">
        <x:v>ASSET_BASTION</x:v>
      </x:c>
      <x:c r="B6" s="65" t="str">
        <x:v>Bastion</x:v>
      </x:c>
      <x:c r="C6" s="65" t="str">
        <x:v>v0.1/bastion.md</x:v>
      </x:c>
      <x:c r="D6" s="65" t="str">
        <x:v>DATA_READY</x:v>
      </x:c>
      <x:c r="E6" s="65" t="str">
        <x:v>PARTIAL_CANONICAL</x:v>
      </x:c>
      <x:c r="F6" s="65" t="str">
        <x:v>BASELINE</x:v>
      </x:c>
      <x:c r="G6" s="65" t="str">
        <x:v>PARTIAL_CANONICAL</x:v>
      </x:c>
      <x:c r="H6" s="65" t="str">
        <x:v>DEFINED</x:v>
      </x:c>
      <x:c r="I6" s="65" t="str">
        <x:v>DEFINED (5)</x:v>
      </x:c>
      <x:c r="J6" s="65" t="str">
        <x:v>DEFINED (1)</x:v>
      </x:c>
      <x:c r="K6" s="65" t="str">
        <x:v>DEFINED</x:v>
      </x:c>
      <x:c r="L6" s="65" t="str">
        <x:v>CANONICAL GENERIC</x:v>
      </x:c>
      <x:c r="M6" s="65" t="str">
        <x:v>DEFINED (2)</x:v>
      </x:c>
      <x:c r="N6" s="65" t="str">
        <x:v>NOT DEFINED</x:v>
      </x:c>
      <x:c r="O6" s="65" t="str">
        <x:v>v0.1</x:v>
      </x:c>
    </x:row>
    <x:row r="7">
      <x:c r="A7" s="65" t="str">
        <x:v>ASSET_VEKTOR</x:v>
      </x:c>
      <x:c r="B7" s="65" t="str">
        <x:v>Vektor</x:v>
      </x:c>
      <x:c r="C7" s="65" t="str">
        <x:v>v0.1/vektor.md</x:v>
      </x:c>
      <x:c r="D7" s="65" t="str">
        <x:v>DATA_READY</x:v>
      </x:c>
      <x:c r="E7" s="65" t="str">
        <x:v>PARTIAL_CANONICAL</x:v>
      </x:c>
      <x:c r="F7" s="65" t="str">
        <x:v>BASELINE</x:v>
      </x:c>
      <x:c r="G7" s="65" t="str">
        <x:v>PARTIAL_CANONICAL</x:v>
      </x:c>
      <x:c r="H7" s="65" t="str">
        <x:v>DEFINED</x:v>
      </x:c>
      <x:c r="I7" s="65" t="str">
        <x:v>DEFINED (5)</x:v>
      </x:c>
      <x:c r="J7" s="65" t="str">
        <x:v>DEFINED (2)</x:v>
      </x:c>
      <x:c r="K7" s="65" t="str">
        <x:v>DEFINED</x:v>
      </x:c>
      <x:c r="L7" s="65" t="str">
        <x:v>CANONICAL GENERIC</x:v>
      </x:c>
      <x:c r="M7" s="65" t="str">
        <x:v>DEFINED (2)</x:v>
      </x:c>
      <x:c r="N7" s="65" t="str">
        <x:v>NOT DEFINED</x:v>
      </x:c>
      <x:c r="O7" s="65" t="str">
        <x:v>v0.1</x:v>
      </x:c>
    </x:row>
    <x:row r="8">
      <x:c r="A8" s="65" t="str">
        <x:v>ASSET_STEEL</x:v>
      </x:c>
      <x:c r="B8" s="65" t="str">
        <x:v>Steel</x:v>
      </x:c>
      <x:c r="C8" s="65" t="str">
        <x:v>v0.2/steel.md</x:v>
      </x:c>
      <x:c r="D8" s="65" t="str">
        <x:v>DATA_READY_v0.2</x:v>
      </x:c>
      <x:c r="E8" s="65" t="str">
        <x:v>DEFINED</x:v>
      </x:c>
      <x:c r="F8" s="65" t="str">
        <x:v>DEFINED</x:v>
      </x:c>
      <x:c r="G8" s="65" t="str">
        <x:v>DEFINED</x:v>
      </x:c>
      <x:c r="H8" s="65" t="str">
        <x:v>DEFINED</x:v>
      </x:c>
      <x:c r="I8" s="65" t="str">
        <x:v>DEFINED (4)</x:v>
      </x:c>
      <x:c r="J8" s="65" t="str">
        <x:v>DEFINED (2)</x:v>
      </x:c>
      <x:c r="K8" s="65" t="str">
        <x:v>DEFINED</x:v>
      </x:c>
      <x:c r="L8" s="65" t="str">
        <x:v>DEFINED hero-specific + generic</x:v>
      </x:c>
      <x:c r="M8" s="65" t="str">
        <x:v>DEFINED (4)</x:v>
      </x:c>
      <x:c r="N8" s="65" t="str">
        <x:v>NOT DEFINED</x:v>
      </x:c>
      <x:c r="O8" s="65" t="str">
        <x:v>v0.2</x:v>
      </x:c>
    </x:row>
    <x:row r="9">
      <x:c r="A9" s="65" t="str">
        <x:v>ASSET_AURORA</x:v>
      </x:c>
      <x:c r="B9" s="65" t="str">
        <x:v>Aurora</x:v>
      </x:c>
      <x:c r="C9" s="65" t="str">
        <x:v>v0.2/aurora.md</x:v>
      </x:c>
      <x:c r="D9" s="65" t="str">
        <x:v>DATA_READY_v0.2</x:v>
      </x:c>
      <x:c r="E9" s="65" t="str">
        <x:v>DEFINED</x:v>
      </x:c>
      <x:c r="F9" s="65" t="str">
        <x:v>DEFINED</x:v>
      </x:c>
      <x:c r="G9" s="65" t="str">
        <x:v>DEFINED</x:v>
      </x:c>
      <x:c r="H9" s="65" t="str">
        <x:v>DEFINED</x:v>
      </x:c>
      <x:c r="I9" s="65" t="str">
        <x:v>DEFINED (4)</x:v>
      </x:c>
      <x:c r="J9" s="65" t="str">
        <x:v>DEFINED (2)</x:v>
      </x:c>
      <x:c r="K9" s="65" t="str">
        <x:v>DEFINED</x:v>
      </x:c>
      <x:c r="L9" s="65" t="str">
        <x:v>DEFINED hero-specific + generic</x:v>
      </x:c>
      <x:c r="M9" s="65" t="str">
        <x:v>DEFINED (4)</x:v>
      </x:c>
      <x:c r="N9" s="65" t="str">
        <x:v>NOT DEFINED</x:v>
      </x:c>
      <x:c r="O9" s="65" t="str">
        <x:v>v0.2</x:v>
      </x:c>
    </x:row>
    <x:row r="10">
      <x:c r="A10" s="65" t="str">
        <x:v>ASSET_MURDOCK</x:v>
      </x:c>
      <x:c r="B10" s="65" t="str">
        <x:v>Murdock</x:v>
      </x:c>
      <x:c r="C10" s="65" t="str">
        <x:v>v0.2/murdock.md</x:v>
      </x:c>
      <x:c r="D10" s="65" t="str">
        <x:v>DATA_READY_v0.2</x:v>
      </x:c>
      <x:c r="E10" s="65" t="str">
        <x:v>DEFINED</x:v>
      </x:c>
      <x:c r="F10" s="65" t="str">
        <x:v>DEFINED</x:v>
      </x:c>
      <x:c r="G10" s="65" t="str">
        <x:v>DEFINED</x:v>
      </x:c>
      <x:c r="H10" s="65" t="str">
        <x:v>DEFINED</x:v>
      </x:c>
      <x:c r="I10" s="65" t="str">
        <x:v>DEFINED (4)</x:v>
      </x:c>
      <x:c r="J10" s="65" t="str">
        <x:v>DEFINED (2)</x:v>
      </x:c>
      <x:c r="K10" s="65" t="str">
        <x:v>DEFINED</x:v>
      </x:c>
      <x:c r="L10" s="65" t="str">
        <x:v>DEFINED hero-specific + generic</x:v>
      </x:c>
      <x:c r="M10" s="65" t="str">
        <x:v>DEFINED (4)</x:v>
      </x:c>
      <x:c r="N10" s="65" t="str">
        <x:v>NOT DEFINED</x:v>
      </x:c>
      <x:c r="O10" s="65" t="str">
        <x:v>v0.2</x:v>
      </x:c>
    </x:row>
    <x:row r="11">
      <x:c r="A11" s="65" t="str">
        <x:v>ASSET_KWANG</x:v>
      </x:c>
      <x:c r="B11" s="65" t="str">
        <x:v>Kwang</x:v>
      </x:c>
      <x:c r="C11" s="65" t="str">
        <x:v>v0.2/kwang.md</x:v>
      </x:c>
      <x:c r="D11" s="65" t="str">
        <x:v>DATA_READY_v0.2</x:v>
      </x:c>
      <x:c r="E11" s="65" t="str">
        <x:v>DEFINED</x:v>
      </x:c>
      <x:c r="F11" s="65" t="str">
        <x:v>DEFINED</x:v>
      </x:c>
      <x:c r="G11" s="65" t="str">
        <x:v>DEFINED</x:v>
      </x:c>
      <x:c r="H11" s="65" t="str">
        <x:v>DEFINED</x:v>
      </x:c>
      <x:c r="I11" s="65" t="str">
        <x:v>DEFINED (4)</x:v>
      </x:c>
      <x:c r="J11" s="65" t="str">
        <x:v>DEFINED (2)</x:v>
      </x:c>
      <x:c r="K11" s="65" t="str">
        <x:v>DEFINED</x:v>
      </x:c>
      <x:c r="L11" s="65" t="str">
        <x:v>DEFINED hero-specific + generic</x:v>
      </x:c>
      <x:c r="M11" s="65" t="str">
        <x:v>DEFINED (4)</x:v>
      </x:c>
      <x:c r="N11" s="65" t="str">
        <x:v>NOT DEFINED</x:v>
      </x:c>
      <x:c r="O11" s="65" t="str">
        <x:v>v0.2</x:v>
      </x:c>
    </x:row>
    <x:row r="12">
      <x:c r="A12" s="31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3"/>
    </x:row>
    <x:row r="13">
      <x:c r="A13" s="31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3"/>
    </x:row>
    <x:row r="14">
      <x:c r="A14" s="31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3"/>
    </x:row>
    <x:row r="15">
      <x:c r="A15" s="31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3"/>
    </x:row>
    <x:row r="16">
      <x:c r="A16" s="31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3"/>
    </x:row>
    <x:row r="17">
      <x:c r="A17" s="31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3"/>
    </x:row>
    <x:row r="18">
      <x:c r="A18" s="31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3"/>
    </x:row>
    <x:row r="19">
      <x:c r="A19" s="31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3"/>
    </x:row>
    <x:row r="20">
      <x:c r="A20" s="31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3"/>
    </x:row>
    <x:row r="21">
      <x:c r="A21" s="31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3"/>
    </x:row>
    <x:row r="22">
      <x:c r="A22" s="31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3"/>
    </x:row>
    <x:row r="23">
      <x:c r="A23" s="31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3"/>
    </x:row>
    <x:row r="24">
      <x:c r="A24" s="31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3"/>
    </x:row>
    <x:row r="25">
      <x:c r="A25" s="31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3"/>
    </x:row>
    <x:row r="26">
      <x:c r="A26" s="31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3"/>
    </x:row>
    <x:row r="27">
      <x:c r="A27" s="31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3"/>
    </x:row>
    <x:row r="28">
      <x:c r="A28" s="31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3"/>
    </x:row>
    <x:row r="29">
      <x:c r="A29" s="31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3"/>
    </x:row>
    <x:row r="30">
      <x:c r="A30" s="31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3"/>
    </x:row>
    <x:row r="31">
      <x:c r="A31" s="31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3"/>
    </x:row>
    <x:row r="32">
      <x:c r="A32" s="31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3"/>
    </x:row>
    <x:row r="33">
      <x:c r="A33" s="31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3"/>
    </x:row>
    <x:row r="34">
      <x:c r="A34" s="31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3"/>
    </x:row>
    <x:row r="35">
      <x:c r="A35" s="31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3"/>
    </x:row>
    <x:row r="36">
      <x:c r="A36" s="31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3"/>
    </x:row>
    <x:row r="37">
      <x:c r="A37" s="31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3"/>
    </x:row>
    <x:row r="38">
      <x:c r="A38" s="31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3"/>
    </x:row>
    <x:row r="39">
      <x:c r="A39" s="31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3"/>
    </x:row>
    <x:row r="40">
      <x:c r="A40" s="31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3"/>
    </x:row>
    <x:row r="41">
      <x:c r="A41" s="34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</x:sheetData>
  <x:mergeCells>
    <x:mergeCell ref="A1:O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53" t="str">
        <x:v>Liste controllate del workbook</x:v>
      </x:c>
      <x:c r="B1" s="53"/>
    </x:row>
    <x:row r="2">
      <x:c r="A2"/>
      <x:c r="B2"/>
    </x:row>
    <x:row r="3">
      <x:c r="A3" s="63" t="str">
        <x:v>Categoria</x:v>
      </x:c>
      <x:c r="B3" s="63" t="str">
        <x:v>Valore</x:v>
      </x:c>
    </x:row>
    <x:row r="4">
      <x:c r="A4" s="65" t="str">
        <x:v>Roster_Status</x:v>
      </x:c>
      <x:c r="B4" s="65" t="str">
        <x:v>Release v0.1</x:v>
      </x:c>
    </x:row>
    <x:row r="5">
      <x:c r="A5" s="65" t="str">
        <x:v>Roster_Status</x:v>
      </x:c>
      <x:c r="B5" s="65" t="str">
        <x:v>Release v0.2</x:v>
      </x:c>
    </x:row>
    <x:row r="6">
      <x:c r="A6" s="65" t="str">
        <x:v>Roster_Status</x:v>
      </x:c>
      <x:c r="B6" s="65" t="str">
        <x:v>Candidate</x:v>
      </x:c>
    </x:row>
    <x:row r="7">
      <x:c r="A7" s="65" t="str">
        <x:v>Design_Status</x:v>
      </x:c>
      <x:c r="B7" s="65" t="str">
        <x:v>IMPLEMENTED</x:v>
      </x:c>
    </x:row>
    <x:row r="8">
      <x:c r="A8" s="65" t="str">
        <x:v>Design_Status</x:v>
      </x:c>
      <x:c r="B8" s="65" t="str">
        <x:v>IMPLEMENTED_PARTIAL</x:v>
      </x:c>
    </x:row>
    <x:row r="9">
      <x:c r="A9" s="65" t="str">
        <x:v>Design_Status</x:v>
      </x:c>
      <x:c r="B9" s="65" t="str">
        <x:v>DATA_SPEC</x:v>
      </x:c>
    </x:row>
    <x:row r="10">
      <x:c r="A10" s="65" t="str">
        <x:v>Design_Status</x:v>
      </x:c>
      <x:c r="B10" s="65" t="str">
        <x:v>KIT_DRAFT</x:v>
      </x:c>
    </x:row>
    <x:row r="11">
      <x:c r="A11" s="65" t="str">
        <x:v>Design_Status</x:v>
      </x:c>
      <x:c r="B11" s="65" t="str">
        <x:v>DEFERRED_E14</x:v>
      </x:c>
    </x:row>
    <x:row r="12">
      <x:c r="A12" s="65" t="str">
        <x:v>Data_Status</x:v>
      </x:c>
      <x:c r="B12" s="65" t="str">
        <x:v>CANONICAL</x:v>
      </x:c>
    </x:row>
    <x:row r="13">
      <x:c r="A13" s="65" t="str">
        <x:v>Data_Status</x:v>
      </x:c>
      <x:c r="B13" s="65" t="str">
        <x:v>CANONICAL_PARTIAL</x:v>
      </x:c>
    </x:row>
    <x:row r="14">
      <x:c r="A14" s="65" t="str">
        <x:v>Data_Status</x:v>
      </x:c>
      <x:c r="B14" s="65" t="str">
        <x:v>CANONICAL_BASELINE</x:v>
      </x:c>
    </x:row>
    <x:row r="15">
      <x:c r="A15" s="65" t="str">
        <x:v>Data_Status</x:v>
      </x:c>
      <x:c r="B15" s="65" t="str">
        <x:v>SOURCE_VALUE</x:v>
      </x:c>
    </x:row>
    <x:row r="16">
      <x:c r="A16" s="65" t="str">
        <x:v>ReleaseVersion</x:v>
      </x:c>
      <x:c r="B16" s="65" t="str">
        <x:v>v0.1</x:v>
      </x:c>
    </x:row>
    <x:row r="17">
      <x:c r="A17" s="65" t="str">
        <x:v>ReleaseVersion</x:v>
      </x:c>
      <x:c r="B17" s="65" t="str">
        <x:v>v0.2</x:v>
      </x:c>
    </x:row>
    <x:row r="18">
      <x:c r="A18" s="65" t="str">
        <x:v>ReleaseVersion</x:v>
      </x:c>
      <x:c r="B18" s="65" t="str">
        <x:v>UNASSIGNED</x:v>
      </x:c>
    </x:row>
    <x:row r="19">
      <x:c r="A19" s="65" t="str">
        <x:v>Implementation_Status</x:v>
      </x:c>
      <x:c r="B19" s="65" t="str">
        <x:v>IMPLEMENTED</x:v>
      </x:c>
    </x:row>
    <x:row r="20">
      <x:c r="A20" s="61" t="str">
        <x:v>Implementation_Status</x:v>
      </x:c>
      <x:c r="B20" s="61" t="str">
        <x:v>PARTIAL</x:v>
      </x:c>
    </x:row>
    <x:row r="21">
      <x:c r="A21" s="61" t="str">
        <x:v>Implementation_Status</x:v>
      </x:c>
      <x:c r="B21" s="61" t="str">
        <x:v>DEFERRED_E14</x:v>
      </x:c>
    </x:row>
    <x:row r="22">
      <x:c r="A22" s="61" t="str">
        <x:v>Implementation_Status</x:v>
      </x:c>
      <x:c r="B22" s="61" t="str">
        <x:v>DESIGN_SPEC</x:v>
      </x:c>
    </x:row>
    <x:row r="23">
      <x:c r="A23" s="61" t="str">
        <x:v>Implementation_Status</x:v>
      </x:c>
      <x:c r="B23" s="61" t="str">
        <x:v>REVIEW_REQUIRED</x:v>
      </x:c>
    </x:row>
    <x:row r="24">
      <x:c r="A24" s="61" t="str">
        <x:v>Mechanic_Scope</x:v>
      </x:c>
      <x:c r="B24" s="61" t="str">
        <x:v>Exclusive</x:v>
      </x:c>
    </x:row>
    <x:row r="25">
      <x:c r="A25" s="61" t="str">
        <x:v>Mechanic_Scope</x:v>
      </x:c>
      <x:c r="B25" s="61" t="str">
        <x:v>SharedGroup</x:v>
      </x:c>
    </x:row>
    <x:row r="26">
      <x:c r="A26" s="61" t="str">
        <x:v>Mechanic_Scope</x:v>
      </x:c>
      <x:c r="B26" s="61" t="str">
        <x:v>Universal</x:v>
      </x:c>
    </x:row>
    <x:row r="27">
      <x:c r="A27" s="61" t="str">
        <x:v>Page_Status</x:v>
      </x:c>
      <x:c r="B27" s="61" t="str">
        <x:v>DATA_READY</x:v>
      </x:c>
    </x:row>
    <x:row r="28">
      <x:c r="A28" s="61" t="str">
        <x:v>Page_Status</x:v>
      </x:c>
      <x:c r="B28" s="61" t="str">
        <x:v>DATA_READY_v0.2</x:v>
      </x:c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</x:sheetData>
  <x:mergeCells>
    <x:mergeCell ref="A1:B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18" hidden="0" customWidth="1"/>
    <x:col min="5" max="5" width="28" hidden="0" customWidth="1"/>
    <x:col min="6" max="6" width="24" hidden="0" customWidth="1"/>
    <x:col min="7" max="7" width="18" hidden="0" customWidth="1"/>
    <x:col min="8" max="8" width="18" hidden="0" customWidth="1"/>
    <x:col min="3" max="3" width="4" hidden="0" customWidth="1"/>
  </x:cols>
  <x:sheetData>
    <x:row r="1">
      <x:c r="A1" s="53" t="str">
        <x:v>Character Wiki Dashboard v0.3 — roster 8</x:v>
      </x:c>
      <x:c r="B1" s="53"/>
      <x:c r="C1" s="53"/>
      <x:c r="D1" s="53"/>
      <x:c r="E1" s="53"/>
      <x:c r="F1" s="53"/>
      <x:c r="G1" s="53"/>
      <x:c r="H1" s="53"/>
    </x:row>
    <x:row r="2">
      <x:c r="A2"/>
      <x:c r="B2"/>
      <x:c r="C2"/>
      <x:c r="D2"/>
      <x:c r="E2"/>
      <x:c r="F2"/>
      <x:c r="G2"/>
      <x:c r="H2"/>
    </x:row>
    <x:row r="3">
      <x:c r="A3" s="58" t="str">
        <x:v>KPI</x:v>
      </x:c>
      <x:c r="B3" s="58" t="str">
        <x:v>Valore</x:v>
      </x:c>
      <x:c r="C3" s="58"/>
      <x:c r="D3" s="58" t="str">
        <x:v>Hero</x:v>
      </x:c>
      <x:c r="E3" s="58" t="str">
        <x:v>Signature</x:v>
      </x:c>
      <x:c r="F3" s="58" t="str">
        <x:v>Ruolo</x:v>
      </x:c>
      <x:c r="G3" s="58" t="str">
        <x:v>Release</x:v>
      </x:c>
      <x:c r="H3" s="58" t="str">
        <x:v>Status</x:v>
      </x:c>
    </x:row>
    <x:row r="4">
      <x:c r="A4" s="69" t="str">
        <x:v>Roster ufficiale</x:v>
      </x:c>
      <x:c r="B4" s="61" t="n">
        <x:f>COUNTA('01_Hero_Profile'!B4:B11)</x:f>
        <x:v>8</x:v>
      </x:c>
      <x:c r="C4" s="61"/>
      <x:c r="D4" s="61" t="str">
        <x:v>Flux</x:v>
      </x:c>
      <x:c r="E4" s="61" t="str">
        <x:v>Conduction</x:v>
      </x:c>
      <x:c r="F4" s="61" t="str">
        <x:v>Controller/Striker</x:v>
      </x:c>
      <x:c r="G4" s="61" t="str">
        <x:v>v0.1</x:v>
      </x:c>
      <x:c r="H4" s="61" t="str">
        <x:v>IMPLEMENTED</x:v>
      </x:c>
    </x:row>
    <x:row r="5">
      <x:c r="A5" s="69" t="str">
        <x:v>Hero v0.1</x:v>
      </x:c>
      <x:c r="B5" s="61" t="n">
        <x:f>COUNTIF('01_Hero_Profile'!F4:F11,"v0.1")</x:f>
        <x:v>4</x:v>
      </x:c>
      <x:c r="C5" s="61"/>
      <x:c r="D5" s="61" t="str">
        <x:v>Riva</x:v>
      </x:c>
      <x:c r="E5" s="61" t="str">
        <x:v>Water Shaping</x:v>
      </x:c>
      <x:c r="F5" s="61" t="str">
        <x:v>Support/Controller</x:v>
      </x:c>
      <x:c r="G5" s="61" t="str">
        <x:v>v0.1</x:v>
      </x:c>
      <x:c r="H5" s="61" t="str">
        <x:v>IMPLEMENTED</x:v>
      </x:c>
    </x:row>
    <x:row r="6">
      <x:c r="A6" s="69" t="str">
        <x:v>Hero v0.2</x:v>
      </x:c>
      <x:c r="B6" s="61" t="n">
        <x:f>COUNTIF('01_Hero_Profile'!F4:F11,"v0.2")</x:f>
        <x:v>4</x:v>
      </x:c>
      <x:c r="C6" s="61"/>
      <x:c r="D6" s="61" t="str">
        <x:v>Bastion</x:v>
      </x:c>
      <x:c r="E6" s="61" t="str">
        <x:v>Field Architecture</x:v>
      </x:c>
      <x:c r="F6" s="61" t="str">
        <x:v>Guardian/Controller</x:v>
      </x:c>
      <x:c r="G6" s="61" t="str">
        <x:v>v0.1</x:v>
      </x:c>
      <x:c r="H6" s="61" t="str">
        <x:v>IMPLEMENTED</x:v>
      </x:c>
    </x:row>
    <x:row r="7">
      <x:c r="A7" s="69" t="str">
        <x:v>Kit v0.1 catalogati</x:v>
      </x:c>
      <x:c r="B7" s="61" t="n">
        <x:f>COUNTIFS('06_Abilities'!R4:R50,"v0.1",'06_Abilities'!A4:A50,"&lt;&gt;")</x:f>
        <x:v>20</x:v>
      </x:c>
      <x:c r="C7" s="61"/>
      <x:c r="D7" s="61" t="str">
        <x:v>Vektor</x:v>
      </x:c>
      <x:c r="E7" s="61" t="str">
        <x:v>Predictive Interception</x:v>
      </x:c>
      <x:c r="F7" s="61" t="str">
        <x:v>Striker/Controller</x:v>
      </x:c>
      <x:c r="G7" s="61" t="str">
        <x:v>v0.1</x:v>
      </x:c>
      <x:c r="H7" s="61" t="str">
        <x:v>IMPLEMENTED</x:v>
      </x:c>
    </x:row>
    <x:row r="8">
      <x:c r="A8" s="69" t="str">
        <x:v>Kit v0.2 design</x:v>
      </x:c>
      <x:c r="B8" s="61" t="n">
        <x:f>COUNTIFS('06_Abilities'!R4:R50,"v0.2",'06_Abilities'!A4:A50,"&lt;&gt;")</x:f>
        <x:v>16</x:v>
      </x:c>
      <x:c r="C8" s="61"/>
      <x:c r="D8" s="61" t="str">
        <x:v>Steel</x:v>
      </x:c>
      <x:c r="E8" s="61" t="str">
        <x:v>Guard Meter</x:v>
      </x:c>
      <x:c r="F8" s="61" t="str">
        <x:v>Guardian/Controller</x:v>
      </x:c>
      <x:c r="G8" s="61" t="str">
        <x:v>v0.2</x:v>
      </x:c>
      <x:c r="H8" s="61" t="str">
        <x:v>DATA_SPEC</x:v>
      </x:c>
    </x:row>
    <x:row r="9">
      <x:c r="A9" s="69" t="str">
        <x:v>Candidate pool</x:v>
      </x:c>
      <x:c r="B9" s="61" t="n">
        <x:f>COUNTA('14_Character_Candidates'!B4:B60)</x:f>
        <x:v>34</x:v>
      </x:c>
      <x:c r="C9" s="61"/>
      <x:c r="D9" s="61" t="str">
        <x:v>Aurora</x:v>
      </x:c>
      <x:c r="E9" s="61" t="str">
        <x:v>Frozen Domain</x:v>
      </x:c>
      <x:c r="F9" s="61" t="str">
        <x:v>Controller/Striker</x:v>
      </x:c>
      <x:c r="G9" s="61" t="str">
        <x:v>v0.2</x:v>
      </x:c>
      <x:c r="H9" s="61" t="str">
        <x:v>DATA_SPEC</x:v>
      </x:c>
    </x:row>
    <x:row r="10">
      <x:c r="A10" s="69" t="str">
        <x:v>Release assegnate</x:v>
      </x:c>
      <x:c r="B10" s="61" t="n">
        <x:f>COUNTIF('01_Hero_Profile'!F4:F11,"v0.1")+COUNTIF('01_Hero_Profile'!F4:F11,"v0.2")</x:f>
        <x:v>8</x:v>
      </x:c>
      <x:c r="C10" s="61"/>
      <x:c r="D10" s="61" t="str">
        <x:v>Murdock</x:v>
      </x:c>
      <x:c r="E10" s="61" t="str">
        <x:v>Focus + Fire Sector</x:v>
      </x:c>
      <x:c r="F10" s="61" t="str">
        <x:v>Marksman/Controller</x:v>
      </x:c>
      <x:c r="G10" s="61" t="str">
        <x:v>v0.2</x:v>
      </x:c>
      <x:c r="H10" s="61" t="str">
        <x:v>DATA_SPEC</x:v>
      </x:c>
    </x:row>
    <x:row r="11">
      <x:c r="A11" s="61"/>
      <x:c r="B11" s="61"/>
      <x:c r="C11" s="61"/>
      <x:c r="D11" s="61" t="str">
        <x:v>Kwang</x:v>
      </x:c>
      <x:c r="E11" s="61" t="str">
        <x:v>Electric Anchor</x:v>
      </x:c>
      <x:c r="F11" s="61" t="str">
        <x:v>Bruiser/Controller</x:v>
      </x:c>
      <x:c r="G11" s="61" t="str">
        <x:v>v0.2</x:v>
      </x:c>
      <x:c r="H11" s="61" t="str">
        <x:v>DATA_SPEC</x:v>
      </x:c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58" hidden="0" customWidth="1"/>
  </x:cols>
  <x:sheetData>
    <x:row r="1">
      <x:c r="A1" s="53" t="str">
        <x:v>Paragon Candidate Pool — non roster ufficiale</x:v>
      </x:c>
      <x:c r="B1" s="53"/>
      <x:c r="C1" s="53"/>
      <x:c r="D1" s="53"/>
      <x:c r="E1" s="53"/>
      <x:c r="F1" s="53"/>
      <x:c r="G1" s="53"/>
      <x:c r="H1" s="53"/>
      <x:c r="I1" s="53"/>
      <x:c r="J1" s="53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 s="58" t="str">
        <x:v>Candidate_Key</x:v>
      </x:c>
      <x:c r="B3" s="58" t="str">
        <x:v>Paragon_Name</x:v>
      </x:c>
      <x:c r="C3" s="58" t="str">
        <x:v>Previous_Role_Primary</x:v>
      </x:c>
      <x:c r="D3" s="58" t="str">
        <x:v>Previous_Role_Secondary</x:v>
      </x:c>
      <x:c r="E3" s="58" t="str">
        <x:v>Signature_Primary</x:v>
      </x:c>
      <x:c r="F3" s="58" t="str">
        <x:v>Signature_Secondary</x:v>
      </x:c>
      <x:c r="G3" s="58" t="str">
        <x:v>Previous_Design_Status</x:v>
      </x:c>
      <x:c r="H3" s="58" t="str">
        <x:v>ReleaseVersion</x:v>
      </x:c>
      <x:c r="I3" s="58" t="str">
        <x:v>Official_Roster</x:v>
      </x:c>
      <x:c r="J3" s="58" t="str">
        <x:v>Note</x:v>
      </x:c>
    </x:row>
    <x:row r="4">
      <x:c r="A4" s="61" t="str">
        <x:v>ASSET_COUNTESS</x:v>
      </x:c>
      <x:c r="B4" s="61" t="str">
        <x:v>Countess</x:v>
      </x:c>
      <x:c r="C4" s="61" t="str">
        <x:v>Infiltrator</x:v>
      </x:c>
      <x:c r="D4" s="61" t="str">
        <x:v>Striker</x:v>
      </x:c>
      <x:c r="E4" s="61" t="str">
        <x:v>Blood Contract</x:v>
      </x:c>
      <x:c r="F4" s="61" t="str">
        <x:v>Execution debt</x:v>
      </x:c>
      <x:c r="G4" s="61" t="str">
        <x:v>SIGNATURE_DEFINED</x:v>
      </x:c>
      <x:c r="H4" s="61" t="str">
        <x:v>UNASSIGNED</x:v>
      </x:c>
      <x:c r="I4" s="61" t="str">
        <x:v>NO</x:v>
      </x:c>
      <x:c r="J4" s="61" t="str">
        <x:v>Candidate pool only: non fa parte del roster ufficiale né di una release pianificata.</x:v>
      </x:c>
    </x:row>
    <x:row r="5">
      <x:c r="A5" s="61" t="str">
        <x:v>ASSET_CRUNCH</x:v>
      </x:c>
      <x:c r="B5" s="61" t="str">
        <x:v>Crunch</x:v>
      </x:c>
      <x:c r="C5" s="61" t="str">
        <x:v>Bruiser</x:v>
      </x:c>
      <x:c r="D5" s="61" t="str">
        <x:v>Controller</x:v>
      </x:c>
      <x:c r="E5" s="61" t="str">
        <x:v>Combo State Machine</x:v>
      </x:c>
      <x:c r="F5" s="61" t="str">
        <x:v>Finisher branches</x:v>
      </x:c>
      <x:c r="G5" s="61" t="str">
        <x:v>SIGNATURE_DEFINED</x:v>
      </x:c>
      <x:c r="H5" s="61" t="str">
        <x:v>UNASSIGNED</x:v>
      </x:c>
      <x:c r="I5" s="61" t="str">
        <x:v>NO</x:v>
      </x:c>
      <x:c r="J5" s="61" t="str">
        <x:v>Candidate pool only: non fa parte del roster ufficiale né di una release pianificata.</x:v>
      </x:c>
    </x:row>
    <x:row r="6">
      <x:c r="A6" s="61" t="str">
        <x:v>ASSET_DEKKER</x:v>
      </x:c>
      <x:c r="B6" s="61" t="str">
        <x:v>Dekker</x:v>
      </x:c>
      <x:c r="C6" s="61" t="str">
        <x:v>Support</x:v>
      </x:c>
      <x:c r="D6" s="61" t="str">
        <x:v>Controller</x:v>
      </x:c>
      <x:c r="E6" s="61" t="str">
        <x:v>Control Geometry</x:v>
      </x:c>
      <x:c r="F6" s="61" t="str">
        <x:v>Confinement</x:v>
      </x:c>
      <x:c r="G6" s="61" t="str">
        <x:v>SIGNATURE_DEFINED</x:v>
      </x:c>
      <x:c r="H6" s="61" t="str">
        <x:v>UNASSIGNED</x:v>
      </x:c>
      <x:c r="I6" s="61" t="str">
        <x:v>NO</x:v>
      </x:c>
      <x:c r="J6" s="61" t="str">
        <x:v>Candidate pool only: non fa parte del roster ufficiale né di una release pianificata.</x:v>
      </x:c>
    </x:row>
    <x:row r="7">
      <x:c r="A7" s="61" t="str">
        <x:v>ASSET_DRONGO</x:v>
      </x:c>
      <x:c r="B7" s="61" t="str">
        <x:v>Drongo</x:v>
      </x:c>
      <x:c r="C7" s="61" t="str">
        <x:v>Marksman</x:v>
      </x:c>
      <x:c r="D7" s="61" t="str">
        <x:v>Controller</x:v>
      </x:c>
      <x:c r="E7" s="61" t="str">
        <x:v>Payload Mix</x:v>
      </x:c>
      <x:c r="F7" s="61" t="str">
        <x:v>Ammo preparation</x:v>
      </x:c>
      <x:c r="G7" s="61" t="str">
        <x:v>SIGNATURE_DEFINED</x:v>
      </x:c>
      <x:c r="H7" s="61" t="str">
        <x:v>UNASSIGNED</x:v>
      </x:c>
      <x:c r="I7" s="61" t="str">
        <x:v>NO</x:v>
      </x:c>
      <x:c r="J7" s="61" t="str">
        <x:v>Candidate pool only: non fa parte del roster ufficiale né di una release pianificata.</x:v>
      </x:c>
    </x:row>
    <x:row r="8">
      <x:c r="A8" s="61" t="str">
        <x:v>ASSET_FENG_MAO</x:v>
      </x:c>
      <x:c r="B8" s="61" t="str">
        <x:v>Feng Mao</x:v>
      </x:c>
      <x:c r="C8" s="61" t="str">
        <x:v>Bruiser</x:v>
      </x:c>
      <x:c r="D8" s="61" t="str">
        <x:v>Infiltrator</x:v>
      </x:c>
      <x:c r="E8" s="61" t="str">
        <x:v>Flow</x:v>
      </x:c>
      <x:c r="F8" s="61" t="str">
        <x:v>Directional momentum</x:v>
      </x:c>
      <x:c r="G8" s="61" t="str">
        <x:v>SIGNATURE_DEFINED</x:v>
      </x:c>
      <x:c r="H8" s="61" t="str">
        <x:v>UNASSIGNED</x:v>
      </x:c>
      <x:c r="I8" s="61" t="str">
        <x:v>NO</x:v>
      </x:c>
      <x:c r="J8" s="61" t="str">
        <x:v>Candidate pool only: non fa parte del roster ufficiale né di una release pianificata.</x:v>
      </x:c>
    </x:row>
    <x:row r="9">
      <x:c r="A9" s="61" t="str">
        <x:v>ASSET_GADGET</x:v>
      </x:c>
      <x:c r="B9" s="61" t="str">
        <x:v>Gadget</x:v>
      </x:c>
      <x:c r="C9" s="61" t="str">
        <x:v>Controller</x:v>
      </x:c>
      <x:c r="D9" s="61" t="str">
        <x:v>Support</x:v>
      </x:c>
      <x:c r="E9" s="61" t="str">
        <x:v>Device Network</x:v>
      </x:c>
      <x:c r="F9" s="61" t="str">
        <x:v>Remote activation</x:v>
      </x:c>
      <x:c r="G9" s="61" t="str">
        <x:v>SIGNATURE_DEFINED</x:v>
      </x:c>
      <x:c r="H9" s="61" t="str">
        <x:v>UNASSIGNED</x:v>
      </x:c>
      <x:c r="I9" s="61" t="str">
        <x:v>NO</x:v>
      </x:c>
      <x:c r="J9" s="61" t="str">
        <x:v>Candidate pool only: non fa parte del roster ufficiale né di una release pianificata.</x:v>
      </x:c>
    </x:row>
    <x:row r="10">
      <x:c r="A10" s="61" t="str">
        <x:v>ASSET_GIDEON</x:v>
      </x:c>
      <x:c r="B10" s="61" t="str">
        <x:v>Gideon</x:v>
      </x:c>
      <x:c r="C10" s="61" t="str">
        <x:v>Controller</x:v>
      </x:c>
      <x:c r="D10" s="61" t="str">
        <x:v>Striker</x:v>
      </x:c>
      <x:c r="E10" s="61" t="str">
        <x:v>Rift Network</x:v>
      </x:c>
      <x:c r="F10" s="61" t="str">
        <x:v>Spatial relocation</x:v>
      </x:c>
      <x:c r="G10" s="61" t="str">
        <x:v>SIGNATURE_DEFINED</x:v>
      </x:c>
      <x:c r="H10" s="61" t="str">
        <x:v>UNASSIGNED</x:v>
      </x:c>
      <x:c r="I10" s="61" t="str">
        <x:v>NO</x:v>
      </x:c>
      <x:c r="J10" s="61" t="str">
        <x:v>Candidate pool only: non fa parte del roster ufficiale né di una release pianificata.</x:v>
      </x:c>
    </x:row>
    <x:row r="11">
      <x:c r="A11" s="61" t="str">
        <x:v>ASSET_GREYSTONE</x:v>
      </x:c>
      <x:c r="B11" s="61" t="str">
        <x:v>Greystone</x:v>
      </x:c>
      <x:c r="C11" s="61" t="str">
        <x:v>Guardian</x:v>
      </x:c>
      <x:c r="D11" s="61" t="str">
        <x:v>Bruiser</x:v>
      </x:c>
      <x:c r="E11" s="61" t="str">
        <x:v>Resolve</x:v>
      </x:c>
      <x:c r="F11" s="61" t="str">
        <x:v>Last-stand conversion</x:v>
      </x:c>
      <x:c r="G11" s="61" t="str">
        <x:v>SIGNATURE_DEFINED</x:v>
      </x:c>
      <x:c r="H11" s="61" t="str">
        <x:v>UNASSIGNED</x:v>
      </x:c>
      <x:c r="I11" s="61" t="str">
        <x:v>NO</x:v>
      </x:c>
      <x:c r="J11" s="61" t="str">
        <x:v>Candidate pool only: non fa parte del roster ufficiale né di una release pianificata.</x:v>
      </x:c>
    </x:row>
    <x:row r="12">
      <x:c r="A12" s="61" t="str">
        <x:v>ASSET_GRIM_EXE</x:v>
      </x:c>
      <x:c r="B12" s="61" t="str">
        <x:v>GRIM.exe</x:v>
      </x:c>
      <x:c r="C12" s="61" t="str">
        <x:v>Marksman</x:v>
      </x:c>
      <x:c r="D12" s="61" t="str">
        <x:v>Controller</x:v>
      </x:c>
      <x:c r="E12" s="61" t="str">
        <x:v>Core Modes</x:v>
      </x:c>
      <x:c r="F12" s="61" t="str">
        <x:v>Companion core</x:v>
      </x:c>
      <x:c r="G12" s="61" t="str">
        <x:v>SIGNATURE_DEFINED</x:v>
      </x:c>
      <x:c r="H12" s="61" t="str">
        <x:v>UNASSIGNED</x:v>
      </x:c>
      <x:c r="I12" s="61" t="str">
        <x:v>NO</x:v>
      </x:c>
      <x:c r="J12" s="61" t="str">
        <x:v>Candidate pool only: non fa parte del roster ufficiale né di una release pianificata.</x:v>
      </x:c>
    </x:row>
    <x:row r="13">
      <x:c r="A13" s="61" t="str">
        <x:v>ASSET_GRUX</x:v>
      </x:c>
      <x:c r="B13" s="61" t="str">
        <x:v>Grux</x:v>
      </x:c>
      <x:c r="C13" s="61" t="str">
        <x:v>Bruiser</x:v>
      </x:c>
      <x:c r="D13" s="61" t="str">
        <x:v>Controller</x:v>
      </x:c>
      <x:c r="E13" s="61" t="str">
        <x:v>Battle Momentum</x:v>
      </x:c>
      <x:c r="F13" s="61" t="str">
        <x:v>Displacement chain</x:v>
      </x:c>
      <x:c r="G13" s="61" t="str">
        <x:v>SIGNATURE_DEFINED</x:v>
      </x:c>
      <x:c r="H13" s="61" t="str">
        <x:v>UNASSIGNED</x:v>
      </x:c>
      <x:c r="I13" s="61" t="str">
        <x:v>NO</x:v>
      </x:c>
      <x:c r="J13" s="61" t="str">
        <x:v>Candidate pool only: non fa parte del roster ufficiale né di una release pianificata.</x:v>
      </x:c>
    </x:row>
    <x:row r="14">
      <x:c r="A14" s="61" t="str">
        <x:v>ASSET_HOWITZER</x:v>
      </x:c>
      <x:c r="B14" s="61" t="str">
        <x:v>Howitzer</x:v>
      </x:c>
      <x:c r="C14" s="61" t="str">
        <x:v>Controller</x:v>
      </x:c>
      <x:c r="D14" s="61" t="str">
        <x:v>Marksman</x:v>
      </x:c>
      <x:c r="E14" s="61" t="str">
        <x:v>Artillery Heat</x:v>
      </x:c>
      <x:c r="F14" s="61" t="str">
        <x:v>Trajectory control</x:v>
      </x:c>
      <x:c r="G14" s="61" t="str">
        <x:v>SIGNATURE_DEFINED</x:v>
      </x:c>
      <x:c r="H14" s="61" t="str">
        <x:v>UNASSIGNED</x:v>
      </x:c>
      <x:c r="I14" s="61" t="str">
        <x:v>NO</x:v>
      </x:c>
      <x:c r="J14" s="61" t="str">
        <x:v>Candidate pool only: non fa parte del roster ufficiale né di una release pianificata.</x:v>
      </x:c>
    </x:row>
    <x:row r="15">
      <x:c r="A15" s="61" t="str">
        <x:v>ASSET_IGGY_SCORCH</x:v>
      </x:c>
      <x:c r="B15" s="61" t="str">
        <x:v>Iggy &amp; Scorch</x:v>
      </x:c>
      <x:c r="C15" s="61" t="str">
        <x:v>Controller</x:v>
      </x:c>
      <x:c r="D15" s="61" t="str">
        <x:v>Bruiser</x:v>
      </x:c>
      <x:c r="E15" s="61" t="str">
        <x:v>Combustion Field</x:v>
      </x:c>
      <x:c r="F15" s="61" t="str">
        <x:v>Persistent deployables</x:v>
      </x:c>
      <x:c r="G15" s="61" t="str">
        <x:v>SIGNATURE_DEFINED</x:v>
      </x:c>
      <x:c r="H15" s="61" t="str">
        <x:v>UNASSIGNED</x:v>
      </x:c>
      <x:c r="I15" s="61" t="str">
        <x:v>NO</x:v>
      </x:c>
      <x:c r="J15" s="61" t="str">
        <x:v>Candidate pool only: non fa parte del roster ufficiale né di una release pianificata.</x:v>
      </x:c>
    </x:row>
    <x:row r="16">
      <x:c r="A16" s="61" t="str">
        <x:v>ASSET_KALLARI</x:v>
      </x:c>
      <x:c r="B16" s="61" t="str">
        <x:v>Kallari</x:v>
      </x:c>
      <x:c r="C16" s="61" t="str">
        <x:v>Infiltrator</x:v>
      </x:c>
      <x:c r="D16" s="61" t="str">
        <x:v>Striker</x:v>
      </x:c>
      <x:c r="E16" s="61" t="str">
        <x:v>Hunt / Trace</x:v>
      </x:c>
      <x:c r="F16" s="61" t="str">
        <x:v>Silent movement</x:v>
      </x:c>
      <x:c r="G16" s="61" t="str">
        <x:v>SIGNATURE_DEFINED</x:v>
      </x:c>
      <x:c r="H16" s="61" t="str">
        <x:v>UNASSIGNED</x:v>
      </x:c>
      <x:c r="I16" s="61" t="str">
        <x:v>NO</x:v>
      </x:c>
      <x:c r="J16" s="61" t="str">
        <x:v>Candidate pool only: non fa parte del roster ufficiale né di una release pianificata.</x:v>
      </x:c>
    </x:row>
    <x:row r="17">
      <x:c r="A17" s="61" t="str">
        <x:v>ASSET_KHAIMERA</x:v>
      </x:c>
      <x:c r="B17" s="61" t="str">
        <x:v>Khaimera</x:v>
      </x:c>
      <x:c r="C17" s="61" t="str">
        <x:v>Bruiser</x:v>
      </x:c>
      <x:c r="D17" s="61" t="str">
        <x:v>Striker</x:v>
      </x:c>
      <x:c r="E17" s="61" t="str">
        <x:v>Predator / Pursuit</x:v>
      </x:c>
      <x:c r="F17" s="61" t="str">
        <x:v>Prey lock</x:v>
      </x:c>
      <x:c r="G17" s="61" t="str">
        <x:v>SIGNATURE_DEFINED</x:v>
      </x:c>
      <x:c r="H17" s="61" t="str">
        <x:v>UNASSIGNED</x:v>
      </x:c>
      <x:c r="I17" s="61" t="str">
        <x:v>NO</x:v>
      </x:c>
      <x:c r="J17" s="61" t="str">
        <x:v>Candidate pool only: non fa parte del roster ufficiale né di una release pianificata.</x:v>
      </x:c>
    </x:row>
    <x:row r="18">
      <x:c r="A18" s="61" t="str">
        <x:v>ASSET_LT_BELICA</x:v>
      </x:c>
      <x:c r="B18" s="61" t="str">
        <x:v>Lt. Belica</x:v>
      </x:c>
      <x:c r="C18" s="61" t="str">
        <x:v>Controller</x:v>
      </x:c>
      <x:c r="D18" s="61" t="str">
        <x:v>Marksman</x:v>
      </x:c>
      <x:c r="E18" s="61" t="str">
        <x:v>Suppression Charge</x:v>
      </x:c>
      <x:c r="F18" s="61" t="str">
        <x:v>Resource denial</x:v>
      </x:c>
      <x:c r="G18" s="61" t="str">
        <x:v>SIGNATURE_DEFINED</x:v>
      </x:c>
      <x:c r="H18" s="61" t="str">
        <x:v>UNASSIGNED</x:v>
      </x:c>
      <x:c r="I18" s="61" t="str">
        <x:v>NO</x:v>
      </x:c>
      <x:c r="J18" s="61" t="str">
        <x:v>Candidate pool only: non fa parte del roster ufficiale né di una release pianificata.</x:v>
      </x:c>
    </x:row>
    <x:row r="19">
      <x:c r="A19" s="61" t="str">
        <x:v>ASSET_MORIGESH</x:v>
      </x:c>
      <x:c r="B19" s="61" t="str">
        <x:v>Morigesh</x:v>
      </x:c>
      <x:c r="C19" s="61" t="str">
        <x:v>Controller</x:v>
      </x:c>
      <x:c r="D19" s="61" t="str">
        <x:v>Infiltrator</x:v>
      </x:c>
      <x:c r="E19" s="61" t="str">
        <x:v>Hex</x:v>
      </x:c>
      <x:c r="F19" s="61" t="str">
        <x:v>Remote payoff</x:v>
      </x:c>
      <x:c r="G19" s="61" t="str">
        <x:v>SIGNATURE_DEFINED</x:v>
      </x:c>
      <x:c r="H19" s="61" t="str">
        <x:v>UNASSIGNED</x:v>
      </x:c>
      <x:c r="I19" s="61" t="str">
        <x:v>NO</x:v>
      </x:c>
      <x:c r="J19" s="61" t="str">
        <x:v>Candidate pool only: non fa parte del roster ufficiale né di una release pianificata.</x:v>
      </x:c>
    </x:row>
    <x:row r="20">
      <x:c r="A20" s="61" t="str">
        <x:v>ASSET_MURIEL</x:v>
      </x:c>
      <x:c r="B20" s="61" t="str">
        <x:v>Muriel</x:v>
      </x:c>
      <x:c r="C20" s="61" t="str">
        <x:v>Support</x:v>
      </x:c>
      <x:c r="D20" s="61" t="str">
        <x:v>Guardian</x:v>
      </x:c>
      <x:c r="E20" s="61" t="str">
        <x:v>Guardian Link</x:v>
      </x:c>
      <x:c r="F20" s="61" t="str">
        <x:v>Remote protection</x:v>
      </x:c>
      <x:c r="G20" s="61" t="str">
        <x:v>SIGNATURE_DEFINED</x:v>
      </x:c>
      <x:c r="H20" s="61" t="str">
        <x:v>UNASSIGNED</x:v>
      </x:c>
      <x:c r="I20" s="61" t="str">
        <x:v>NO</x:v>
      </x:c>
      <x:c r="J20" s="61" t="str">
        <x:v>Candidate pool only: non fa parte del roster ufficiale né di una release pianificata.</x:v>
      </x:c>
    </x:row>
    <x:row r="21">
      <x:c r="A21" s="61" t="str">
        <x:v>ASSET_NARBASH</x:v>
      </x:c>
      <x:c r="B21" s="61" t="str">
        <x:v>Narbash</x:v>
      </x:c>
      <x:c r="C21" s="61" t="str">
        <x:v>Support</x:v>
      </x:c>
      <x:c r="D21" s="61" t="str">
        <x:v>Controller</x:v>
      </x:c>
      <x:c r="E21" s="61" t="str">
        <x:v>Beat</x:v>
      </x:c>
      <x:c r="F21" s="61" t="str">
        <x:v>Area support cadence</x:v>
      </x:c>
      <x:c r="G21" s="61" t="str">
        <x:v>SIGNATURE_DEFINED</x:v>
      </x:c>
      <x:c r="H21" s="61" t="str">
        <x:v>UNASSIGNED</x:v>
      </x:c>
      <x:c r="I21" s="61" t="str">
        <x:v>NO</x:v>
      </x:c>
      <x:c r="J21" s="61" t="str">
        <x:v>Candidate pool only: non fa parte del roster ufficiale né di una release pianificata.</x:v>
      </x:c>
    </x:row>
    <x:row r="22">
      <x:c r="A22" s="61" t="str">
        <x:v>ASSET_PHASE</x:v>
      </x:c>
      <x:c r="B22" s="61" t="str">
        <x:v>Phase</x:v>
      </x:c>
      <x:c r="C22" s="61" t="str">
        <x:v>Support</x:v>
      </x:c>
      <x:c r="D22" s="61" t="str">
        <x:v>Controller</x:v>
      </x:c>
      <x:c r="E22" s="61" t="str">
        <x:v>Phase Link</x:v>
      </x:c>
      <x:c r="F22" s="61" t="str">
        <x:v>Ally relocation</x:v>
      </x:c>
      <x:c r="G22" s="61" t="str">
        <x:v>SIGNATURE_DEFINED</x:v>
      </x:c>
      <x:c r="H22" s="61" t="str">
        <x:v>UNASSIGNED</x:v>
      </x:c>
      <x:c r="I22" s="61" t="str">
        <x:v>NO</x:v>
      </x:c>
      <x:c r="J22" s="61" t="str">
        <x:v>Candidate pool only: non fa parte del roster ufficiale né di una release pianificata.</x:v>
      </x:c>
    </x:row>
    <x:row r="23">
      <x:c r="A23" s="61" t="str">
        <x:v>ASSET_RAMPAGE</x:v>
      </x:c>
      <x:c r="B23" s="61" t="str">
        <x:v>Rampage</x:v>
      </x:c>
      <x:c r="C23" s="61" t="str">
        <x:v>Guardian</x:v>
      </x:c>
      <x:c r="D23" s="61" t="str">
        <x:v>Bruiser</x:v>
      </x:c>
      <x:c r="E23" s="61" t="str">
        <x:v>Fury</x:v>
      </x:c>
      <x:c r="F23" s="61" t="str">
        <x:v>Collision payoff</x:v>
      </x:c>
      <x:c r="G23" s="61" t="str">
        <x:v>SIGNATURE_DEFINED</x:v>
      </x:c>
      <x:c r="H23" s="61" t="str">
        <x:v>UNASSIGNED</x:v>
      </x:c>
      <x:c r="I23" s="61" t="str">
        <x:v>NO</x:v>
      </x:c>
      <x:c r="J23" s="61" t="str">
        <x:v>Candidate pool only: non fa parte del roster ufficiale né di una release pianificata.</x:v>
      </x:c>
    </x:row>
    <x:row r="24">
      <x:c r="A24" s="61" t="str">
        <x:v>ASSET_REVENANT</x:v>
      </x:c>
      <x:c r="B24" s="61" t="str">
        <x:v>Revenant</x:v>
      </x:c>
      <x:c r="C24" s="61" t="str">
        <x:v>Marksman</x:v>
      </x:c>
      <x:c r="D24" s="61" t="str">
        <x:v>Infiltrator</x:v>
      </x:c>
      <x:c r="E24" s="61" t="str">
        <x:v>Chamber</x:v>
      </x:c>
      <x:c r="F24" s="61" t="str">
        <x:v>Execution mark</x:v>
      </x:c>
      <x:c r="G24" s="61" t="str">
        <x:v>SIGNATURE_DEFINED</x:v>
      </x:c>
      <x:c r="H24" s="61" t="str">
        <x:v>UNASSIGNED</x:v>
      </x:c>
      <x:c r="I24" s="61" t="str">
        <x:v>NO</x:v>
      </x:c>
      <x:c r="J24" s="61" t="str">
        <x:v>Candidate pool only: non fa parte del roster ufficiale né di una release pianificata.</x:v>
      </x:c>
    </x:row>
    <x:row r="25">
      <x:c r="A25" s="61" t="str">
        <x:v>ASSET_RIKTOR</x:v>
      </x:c>
      <x:c r="B25" s="61" t="str">
        <x:v>Riktor</x:v>
      </x:c>
      <x:c r="C25" s="61" t="str">
        <x:v>Guardian</x:v>
      </x:c>
      <x:c r="D25" s="61" t="str">
        <x:v>Controller</x:v>
      </x:c>
      <x:c r="E25" s="61" t="str">
        <x:v>Tether</x:v>
      </x:c>
      <x:c r="F25" s="61" t="str">
        <x:v>Pull geometry</x:v>
      </x:c>
      <x:c r="G25" s="61" t="str">
        <x:v>SIGNATURE_DEFINED</x:v>
      </x:c>
      <x:c r="H25" s="61" t="str">
        <x:v>UNASSIGNED</x:v>
      </x:c>
      <x:c r="I25" s="61" t="str">
        <x:v>NO</x:v>
      </x:c>
      <x:c r="J25" s="61" t="str">
        <x:v>Candidate pool only: non fa parte del roster ufficiale né di una release pianificata.</x:v>
      </x:c>
    </x:row>
    <x:row r="26">
      <x:c r="A26" s="61" t="str">
        <x:v>ASSET_SERATH</x:v>
      </x:c>
      <x:c r="B26" s="61" t="str">
        <x:v>Serath</x:v>
      </x:c>
      <x:c r="C26" s="61" t="str">
        <x:v>Striker</x:v>
      </x:c>
      <x:c r="D26" s="61" t="str">
        <x:v>Bruiser</x:v>
      </x:c>
      <x:c r="E26" s="61" t="str">
        <x:v>Dual State</x:v>
      </x:c>
      <x:c r="F26" s="61" t="str">
        <x:v>Risk/reward stance</x:v>
      </x:c>
      <x:c r="G26" s="61" t="str">
        <x:v>SIGNATURE_DEFINED</x:v>
      </x:c>
      <x:c r="H26" s="61" t="str">
        <x:v>UNASSIGNED</x:v>
      </x:c>
      <x:c r="I26" s="61" t="str">
        <x:v>NO</x:v>
      </x:c>
      <x:c r="J26" s="61" t="str">
        <x:v>Candidate pool only: non fa parte del roster ufficiale né di una release pianificata.</x:v>
      </x:c>
    </x:row>
    <x:row r="27">
      <x:c r="A27" s="61" t="str">
        <x:v>ASSET_SEVAROG</x:v>
      </x:c>
      <x:c r="B27" s="61" t="str">
        <x:v>Sevarog</x:v>
      </x:c>
      <x:c r="C27" s="61" t="str">
        <x:v>Guardian</x:v>
      </x:c>
      <x:c r="D27" s="61" t="str">
        <x:v>Controller</x:v>
      </x:c>
      <x:c r="E27" s="61" t="str">
        <x:v>Essence Harvest</x:v>
      </x:c>
      <x:c r="F27" s="61" t="str">
        <x:v>Area dominance</x:v>
      </x:c>
      <x:c r="G27" s="61" t="str">
        <x:v>SIGNATURE_DEFINED</x:v>
      </x:c>
      <x:c r="H27" s="61" t="str">
        <x:v>UNASSIGNED</x:v>
      </x:c>
      <x:c r="I27" s="61" t="str">
        <x:v>NO</x:v>
      </x:c>
      <x:c r="J27" s="61" t="str">
        <x:v>Candidate pool only: non fa parte del roster ufficiale né di una release pianificata.</x:v>
      </x:c>
    </x:row>
    <x:row r="28">
      <x:c r="A28" s="61" t="str">
        <x:v>ASSET_SHINBI</x:v>
      </x:c>
      <x:c r="B28" s="61" t="str">
        <x:v>Shinbi</x:v>
      </x:c>
      <x:c r="C28" s="61" t="str">
        <x:v>Striker</x:v>
      </x:c>
      <x:c r="D28" s="61" t="str">
        <x:v>Controller</x:v>
      </x:c>
      <x:c r="E28" s="61" t="str">
        <x:v>Resonance</x:v>
      </x:c>
      <x:c r="F28" s="61" t="str">
        <x:v>Sequence payoff</x:v>
      </x:c>
      <x:c r="G28" s="61" t="str">
        <x:v>SIGNATURE_DEFINED</x:v>
      </x:c>
      <x:c r="H28" s="61" t="str">
        <x:v>UNASSIGNED</x:v>
      </x:c>
      <x:c r="I28" s="61" t="str">
        <x:v>NO</x:v>
      </x:c>
      <x:c r="J28" s="61" t="str">
        <x:v>Candidate pool only: non fa parte del roster ufficiale né di una release pianificata.</x:v>
      </x:c>
    </x:row>
    <x:row r="29">
      <x:c r="A29" s="61" t="str">
        <x:v>ASSET_SPARROW</x:v>
      </x:c>
      <x:c r="B29" s="61" t="str">
        <x:v>Sparrow</x:v>
      </x:c>
      <x:c r="C29" s="61" t="str">
        <x:v>Marksman</x:v>
      </x:c>
      <x:c r="D29" s="61" t="str">
        <x:v>Striker</x:v>
      </x:c>
      <x:c r="E29" s="61" t="str">
        <x:v>Precision Chain</x:v>
      </x:c>
      <x:c r="F29" s="61" t="str">
        <x:v>Target pressure</x:v>
      </x:c>
      <x:c r="G29" s="61" t="str">
        <x:v>SIGNATURE_DEFINED</x:v>
      </x:c>
      <x:c r="H29" s="61" t="str">
        <x:v>UNASSIGNED</x:v>
      </x:c>
      <x:c r="I29" s="61" t="str">
        <x:v>NO</x:v>
      </x:c>
      <x:c r="J29" s="61" t="str">
        <x:v>Candidate pool only: non fa parte del roster ufficiale né di una release pianificata.</x:v>
      </x:c>
    </x:row>
    <x:row r="30">
      <x:c r="A30" s="61" t="str">
        <x:v>ASSET_TERRA</x:v>
      </x:c>
      <x:c r="B30" s="61" t="str">
        <x:v>Terra</x:v>
      </x:c>
      <x:c r="C30" s="61" t="str">
        <x:v>Guardian</x:v>
      </x:c>
      <x:c r="D30" s="61" t="str">
        <x:v>Bruiser</x:v>
      </x:c>
      <x:c r="E30" s="61" t="str">
        <x:v>Fortress</x:v>
      </x:c>
      <x:c r="F30" s="61" t="str">
        <x:v>Brace escalation</x:v>
      </x:c>
      <x:c r="G30" s="61" t="str">
        <x:v>SIGNATURE_DEFINED</x:v>
      </x:c>
      <x:c r="H30" s="61" t="str">
        <x:v>UNASSIGNED</x:v>
      </x:c>
      <x:c r="I30" s="61" t="str">
        <x:v>NO</x:v>
      </x:c>
      <x:c r="J30" s="61" t="str">
        <x:v>Candidate pool only: non fa parte del roster ufficiale né di una release pianificata.</x:v>
      </x:c>
    </x:row>
    <x:row r="31">
      <x:c r="A31" s="61" t="str">
        <x:v>ASSET_THE_FEY</x:v>
      </x:c>
      <x:c r="B31" s="61" t="str">
        <x:v>The Fey</x:v>
      </x:c>
      <x:c r="C31" s="61" t="str">
        <x:v>Controller</x:v>
      </x:c>
      <x:c r="D31" s="61" t="str">
        <x:v>Support</x:v>
      </x:c>
      <x:c r="E31" s="61" t="str">
        <x:v>Growth</x:v>
      </x:c>
      <x:c r="F31" s="61" t="str">
        <x:v>Propagation</x:v>
      </x:c>
      <x:c r="G31" s="61" t="str">
        <x:v>SIGNATURE_DEFINED</x:v>
      </x:c>
      <x:c r="H31" s="61" t="str">
        <x:v>UNASSIGNED</x:v>
      </x:c>
      <x:c r="I31" s="61" t="str">
        <x:v>NO</x:v>
      </x:c>
      <x:c r="J31" s="61" t="str">
        <x:v>Candidate pool only: non fa parte del roster ufficiale né di una release pianificata.</x:v>
      </x:c>
    </x:row>
    <x:row r="32">
      <x:c r="A32" s="61" t="str">
        <x:v>ASSET_TWINBLAST</x:v>
      </x:c>
      <x:c r="B32" s="61" t="str">
        <x:v>TwinBlast</x:v>
      </x:c>
      <x:c r="C32" s="61" t="str">
        <x:v>Marksman</x:v>
      </x:c>
      <x:c r="D32" s="61" t="str">
        <x:v>Striker</x:v>
      </x:c>
      <x:c r="E32" s="61" t="str">
        <x:v>Alternating Rhythm</x:v>
      </x:c>
      <x:c r="F32" s="61" t="str">
        <x:v>Mobility cadence</x:v>
      </x:c>
      <x:c r="G32" s="61" t="str">
        <x:v>SIGNATURE_DEFINED</x:v>
      </x:c>
      <x:c r="H32" s="61" t="str">
        <x:v>UNASSIGNED</x:v>
      </x:c>
      <x:c r="I32" s="61" t="str">
        <x:v>NO</x:v>
      </x:c>
      <x:c r="J32" s="61" t="str">
        <x:v>Candidate pool only: non fa parte del roster ufficiale né di una release pianificata.</x:v>
      </x:c>
    </x:row>
    <x:row r="33">
      <x:c r="A33" s="61" t="str">
        <x:v>ASSET_WRAITH</x:v>
      </x:c>
      <x:c r="B33" s="61" t="str">
        <x:v>Wraith</x:v>
      </x:c>
      <x:c r="C33" s="61" t="str">
        <x:v>Infiltrator</x:v>
      </x:c>
      <x:c r="D33" s="61" t="str">
        <x:v>Marksman</x:v>
      </x:c>
      <x:c r="E33" s="61" t="str">
        <x:v>Insight</x:v>
      </x:c>
      <x:c r="F33" s="61" t="str">
        <x:v>Predictive shot</x:v>
      </x:c>
      <x:c r="G33" s="61" t="str">
        <x:v>SIGNATURE_DEFINED</x:v>
      </x:c>
      <x:c r="H33" s="61" t="str">
        <x:v>UNASSIGNED</x:v>
      </x:c>
      <x:c r="I33" s="61" t="str">
        <x:v>NO</x:v>
      </x:c>
      <x:c r="J33" s="61" t="str">
        <x:v>Candidate pool only: non fa parte del roster ufficiale né di una release pianificata.</x:v>
      </x:c>
    </x:row>
    <x:row r="34">
      <x:c r="A34" s="61" t="str">
        <x:v>ASSET_WUKONG</x:v>
      </x:c>
      <x:c r="B34" s="61" t="str">
        <x:v>Wukong</x:v>
      </x:c>
      <x:c r="C34" s="61" t="str">
        <x:v>Bruiser</x:v>
      </x:c>
      <x:c r="D34" s="61" t="str">
        <x:v>Infiltrator</x:v>
      </x:c>
      <x:c r="E34" s="61" t="str">
        <x:v>Echo Paths</x:v>
      </x:c>
      <x:c r="F34" s="61" t="str">
        <x:v>Decoy positioning</x:v>
      </x:c>
      <x:c r="G34" s="61" t="str">
        <x:v>SIGNATURE_DEFINED</x:v>
      </x:c>
      <x:c r="H34" s="61" t="str">
        <x:v>UNASSIGNED</x:v>
      </x:c>
      <x:c r="I34" s="61" t="str">
        <x:v>NO</x:v>
      </x:c>
      <x:c r="J34" s="61" t="str">
        <x:v>Candidate pool only: non fa parte del roster ufficiale né di una release pianificata.</x:v>
      </x:c>
    </x:row>
    <x:row r="35">
      <x:c r="A35" s="61" t="str">
        <x:v>ASSET_YIN</x:v>
      </x:c>
      <x:c r="B35" s="61" t="str">
        <x:v>Yin</x:v>
      </x:c>
      <x:c r="C35" s="61" t="str">
        <x:v>Striker</x:v>
      </x:c>
      <x:c r="D35" s="61" t="str">
        <x:v>Controller</x:v>
      </x:c>
      <x:c r="E35" s="61" t="str">
        <x:v>Deflection</x:v>
      </x:c>
      <x:c r="F35" s="61" t="str">
        <x:v>Opportunity conversion</x:v>
      </x:c>
      <x:c r="G35" s="61" t="str">
        <x:v>SIGNATURE_DEFINED</x:v>
      </x:c>
      <x:c r="H35" s="61" t="str">
        <x:v>UNASSIGNED</x:v>
      </x:c>
      <x:c r="I35" s="61" t="str">
        <x:v>NO</x:v>
      </x:c>
      <x:c r="J35" s="61" t="str">
        <x:v>Candidate pool only: non fa parte del roster ufficiale né di una release pianificata.</x:v>
      </x:c>
    </x:row>
    <x:row r="36">
      <x:c r="A36" s="61" t="str">
        <x:v>ASSET_ZINX</x:v>
      </x:c>
      <x:c r="B36" s="61" t="str">
        <x:v>Zinx</x:v>
      </x:c>
      <x:c r="C36" s="61" t="str">
        <x:v>Support</x:v>
      </x:c>
      <x:c r="D36" s="61" t="str">
        <x:v>Controller</x:v>
      </x:c>
      <x:c r="E36" s="61" t="str">
        <x:v>Energy Debt</x:v>
      </x:c>
      <x:c r="F36" s="61" t="str">
        <x:v>Resource conversion</x:v>
      </x:c>
      <x:c r="G36" s="61" t="str">
        <x:v>SIGNATURE_DEFINED</x:v>
      </x:c>
      <x:c r="H36" s="61" t="str">
        <x:v>UNASSIGNED</x:v>
      </x:c>
      <x:c r="I36" s="61" t="str">
        <x:v>NO</x:v>
      </x:c>
      <x:c r="J36" s="61" t="str">
        <x:v>Candidate pool only: non fa parte del roster ufficiale né di una release pianificata.</x:v>
      </x:c>
    </x:row>
    <x:row r="37">
      <x:c r="A37" s="61" t="str">
        <x:v>ASSET_BORIS</x:v>
      </x:c>
      <x:c r="B37" s="61" t="str">
        <x:v>Boris</x:v>
      </x:c>
      <x:c r="C37" s="61" t="str">
        <x:v>Bruiser</x:v>
      </x:c>
      <x:c r="D37" s="61" t="str">
        <x:v>Striker</x:v>
      </x:c>
      <x:c r="E37" s="61" t="str">
        <x:v>Overdrive / Heat</x:v>
      </x:c>
      <x:c r="F37" s="61" t="str">
        <x:v>Cooling windows</x:v>
      </x:c>
      <x:c r="G37" s="61" t="str">
        <x:v>SIGNATURE_DEFINED</x:v>
      </x:c>
      <x:c r="H37" s="61" t="str">
        <x:v>UNASSIGNED</x:v>
      </x:c>
      <x:c r="I37" s="61" t="str">
        <x:v>NO</x:v>
      </x:c>
      <x:c r="J37" s="61" t="str">
        <x:v>Candidate pool only: non fa parte del roster ufficiale né di una release pianificata.</x:v>
      </x:c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  <x:row r="41">
      <x:c r="A41"/>
      <x:c r="B41"/>
      <x:c r="C41"/>
      <x:c r="D41"/>
      <x:c r="E41"/>
      <x:c r="F41"/>
      <x:c r="G41"/>
      <x:c r="H41"/>
      <x:c r="I41"/>
      <x:c r="J41"/>
    </x:row>
    <x:row r="42">
      <x:c r="A42"/>
      <x:c r="B42"/>
      <x:c r="C42"/>
      <x:c r="D42"/>
      <x:c r="E42"/>
      <x:c r="F42"/>
      <x:c r="G42"/>
      <x:c r="H42"/>
      <x:c r="I42"/>
      <x:c r="J42"/>
    </x:row>
    <x:row r="43">
      <x:c r="A43"/>
      <x:c r="B43"/>
      <x:c r="C43"/>
      <x:c r="D43"/>
      <x:c r="E43"/>
      <x:c r="F43"/>
      <x:c r="G43"/>
      <x:c r="H43"/>
      <x:c r="I43"/>
      <x:c r="J43"/>
    </x:row>
    <x:row r="44">
      <x:c r="A44"/>
      <x:c r="B44"/>
      <x:c r="C44"/>
      <x:c r="D44"/>
      <x:c r="E44"/>
      <x:c r="F44"/>
      <x:c r="G44"/>
      <x:c r="H44"/>
      <x:c r="I44"/>
      <x:c r="J44"/>
    </x:row>
    <x:row r="45">
      <x:c r="A45"/>
      <x:c r="B45"/>
      <x:c r="C45"/>
      <x:c r="D45"/>
      <x:c r="E45"/>
      <x:c r="F45"/>
      <x:c r="G45"/>
      <x:c r="H45"/>
      <x:c r="I45"/>
      <x:c r="J45"/>
    </x:row>
  </x:sheetData>
  <x:pageMargins left="0.7" right="0.7" top="0.75" bottom="0.75" header="0.3" footer="0.3"/>
</x:worksheet>
</file>